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ca1a95f4e9bdafd/Documents/Moksha-Sharma-Financial-Planning-Tool/"/>
    </mc:Choice>
  </mc:AlternateContent>
  <xr:revisionPtr revIDLastSave="0" documentId="8_{687B6C93-16C8-40F7-B06C-16FCA376CA5C}" xr6:coauthVersionLast="47" xr6:coauthVersionMax="47" xr10:uidLastSave="{00000000-0000-0000-0000-000000000000}"/>
  <bookViews>
    <workbookView xWindow="-110" yWindow="-110" windowWidth="22620" windowHeight="13500" activeTab="1" xr2:uid="{2E056237-3DAF-402E-B78C-3B3439018087}"/>
  </bookViews>
  <sheets>
    <sheet name="Home Page" sheetId="1" r:id="rId1"/>
    <sheet name="Income" sheetId="3" r:id="rId2"/>
    <sheet name="Expense" sheetId="2" r:id="rId3"/>
    <sheet name="Loan" sheetId="9" r:id="rId4"/>
    <sheet name="Tuition" sheetId="4" r:id="rId5"/>
    <sheet name="Savings Goals" sheetId="6" r:id="rId6"/>
    <sheet name="MyAdvice" sheetId="5" r:id="rId7"/>
  </sheet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1" l="1"/>
  <c r="O11" i="1"/>
  <c r="P6" i="9"/>
  <c r="P10" i="9" s="1"/>
  <c r="O12" i="1" s="1"/>
  <c r="O3" i="6"/>
  <c r="O17" i="1" s="1"/>
  <c r="O2" i="6"/>
  <c r="O16" i="1" s="1"/>
  <c r="O3" i="4"/>
  <c r="O4" i="4" s="1"/>
  <c r="K18" i="1" s="1"/>
  <c r="O2" i="4"/>
  <c r="P8" i="9"/>
  <c r="P3" i="2"/>
  <c r="J11" i="1" s="1"/>
  <c r="N17" i="3"/>
  <c r="J10" i="1" s="1"/>
  <c r="O5" i="4" l="1"/>
  <c r="K19" i="1" s="1"/>
  <c r="K17" i="1"/>
  <c r="O10" i="1"/>
  <c r="P12" i="9"/>
  <c r="O13" i="1" s="1"/>
  <c r="O4" i="6"/>
  <c r="O18" i="1" s="1"/>
  <c r="O5" i="6"/>
  <c r="O19" i="1" s="1"/>
  <c r="J12" i="1"/>
</calcChain>
</file>

<file path=xl/sharedStrings.xml><?xml version="1.0" encoding="utf-8"?>
<sst xmlns="http://schemas.openxmlformats.org/spreadsheetml/2006/main" count="146" uniqueCount="80">
  <si>
    <t>Food</t>
  </si>
  <si>
    <t>Entertainment</t>
  </si>
  <si>
    <t>Transportation</t>
  </si>
  <si>
    <t>Goals</t>
  </si>
  <si>
    <t>Year of Uni</t>
  </si>
  <si>
    <t>Methods of Payment</t>
  </si>
  <si>
    <t>OSAP</t>
  </si>
  <si>
    <t>RESP</t>
  </si>
  <si>
    <t>Personal Funds</t>
  </si>
  <si>
    <t>Scholarships</t>
  </si>
  <si>
    <t>Other</t>
  </si>
  <si>
    <t>Source</t>
  </si>
  <si>
    <t>Amount ($CAD)</t>
  </si>
  <si>
    <t>Desired Amount</t>
  </si>
  <si>
    <t>Contribution</t>
  </si>
  <si>
    <t>Date of Contribution</t>
  </si>
  <si>
    <t>Year of University</t>
  </si>
  <si>
    <t>Tuition Due</t>
  </si>
  <si>
    <t>Amount Contributed ($CAD)</t>
  </si>
  <si>
    <t>Method of Payment</t>
  </si>
  <si>
    <t>Item Type</t>
  </si>
  <si>
    <t>Price ($CAD)</t>
  </si>
  <si>
    <t>Date (YYYY/MM/DD)</t>
  </si>
  <si>
    <t xml:space="preserve">Miscellaneous </t>
  </si>
  <si>
    <t xml:space="preserve">Expense Categories </t>
  </si>
  <si>
    <t>Walmart</t>
  </si>
  <si>
    <t>Date  (YYYY/MM/DD)</t>
  </si>
  <si>
    <t>Car</t>
  </si>
  <si>
    <t>Mom</t>
  </si>
  <si>
    <t>Goal</t>
  </si>
  <si>
    <t>Housing</t>
  </si>
  <si>
    <t>Personal Care</t>
  </si>
  <si>
    <t xml:space="preserve">Apparel </t>
  </si>
  <si>
    <t>Description</t>
  </si>
  <si>
    <t>Grand Total</t>
  </si>
  <si>
    <t>Date</t>
  </si>
  <si>
    <t>Amount</t>
  </si>
  <si>
    <t>Sum of Amount</t>
  </si>
  <si>
    <t>Sources of Income</t>
  </si>
  <si>
    <t>ION</t>
  </si>
  <si>
    <t>went to conestoga</t>
  </si>
  <si>
    <t>Sum of Price ($CAD)</t>
  </si>
  <si>
    <t>Type of Expense</t>
  </si>
  <si>
    <t>Total Income</t>
  </si>
  <si>
    <t>Total Expense</t>
  </si>
  <si>
    <t>Total Income :</t>
  </si>
  <si>
    <t>Total Expenses :</t>
  </si>
  <si>
    <t>Amount Repaid ($CAD)</t>
  </si>
  <si>
    <t>Dad</t>
  </si>
  <si>
    <t xml:space="preserve">Loan Status </t>
  </si>
  <si>
    <t>Total Loan Amount :</t>
  </si>
  <si>
    <t>Total Amount Repaid :</t>
  </si>
  <si>
    <t>Total Remaining Loan :</t>
  </si>
  <si>
    <t>Grandma</t>
  </si>
  <si>
    <t>UWaterloo</t>
  </si>
  <si>
    <t>Percent of Loan Paid Off:</t>
  </si>
  <si>
    <t>Amazon Prime</t>
  </si>
  <si>
    <t>Watched a movie for halloween</t>
  </si>
  <si>
    <t>Sum of Amount Contributed ($CAD)</t>
  </si>
  <si>
    <t xml:space="preserve">Tuition Status </t>
  </si>
  <si>
    <t>Total Amount Paid :</t>
  </si>
  <si>
    <t>Percent of Tuition Paid :</t>
  </si>
  <si>
    <t>Total Tuition Owed :</t>
  </si>
  <si>
    <t xml:space="preserve">Savings Goals Status </t>
  </si>
  <si>
    <t>Total Wanted Savings :</t>
  </si>
  <si>
    <t>Total Amount Saved :</t>
  </si>
  <si>
    <t>Remaining Balance :</t>
  </si>
  <si>
    <t>Remaining Savings Needed :</t>
  </si>
  <si>
    <t>Percent Saved :</t>
  </si>
  <si>
    <t>Macbook</t>
  </si>
  <si>
    <t>socks</t>
  </si>
  <si>
    <t xml:space="preserve">Account </t>
  </si>
  <si>
    <t>Net Income :</t>
  </si>
  <si>
    <t>Emergency Funds</t>
  </si>
  <si>
    <t>Ajax</t>
  </si>
  <si>
    <t>Aunt</t>
  </si>
  <si>
    <t>Makimono</t>
  </si>
  <si>
    <t>went out to eat sushi</t>
  </si>
  <si>
    <t>EB Games</t>
  </si>
  <si>
    <t>mariokart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</si>
</sst>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[$-F800]dddd\,\ mmmm\ dd\,\ yyyy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1" fillId="2" borderId="0" xfId="0" applyFont="1" applyFill="1"/>
    <xf numFmtId="7" fontId="0" fillId="2" borderId="0" xfId="0" applyNumberFormat="1" applyFill="1"/>
    <xf numFmtId="0" fontId="2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/>
    <xf numFmtId="7" fontId="0" fillId="2" borderId="1" xfId="0" applyNumberFormat="1" applyFill="1" applyBorder="1"/>
    <xf numFmtId="0" fontId="1" fillId="2" borderId="1" xfId="0" applyFont="1" applyFill="1" applyBorder="1"/>
    <xf numFmtId="7" fontId="1" fillId="2" borderId="1" xfId="0" applyNumberFormat="1" applyFont="1" applyFill="1" applyBorder="1"/>
    <xf numFmtId="0" fontId="0" fillId="2" borderId="1" xfId="0" applyFill="1" applyBorder="1"/>
    <xf numFmtId="0" fontId="0" fillId="4" borderId="0" xfId="0" applyFill="1"/>
    <xf numFmtId="14" fontId="0" fillId="2" borderId="1" xfId="0" applyNumberFormat="1" applyFill="1" applyBorder="1"/>
    <xf numFmtId="0" fontId="1" fillId="3" borderId="1" xfId="0" applyFont="1" applyFill="1" applyBorder="1"/>
    <xf numFmtId="0" fontId="3" fillId="2" borderId="0" xfId="0" applyFont="1" applyFill="1"/>
    <xf numFmtId="0" fontId="4" fillId="2" borderId="0" xfId="0" applyFont="1" applyFill="1"/>
    <xf numFmtId="0" fontId="1" fillId="0" borderId="0" xfId="0" applyFont="1"/>
    <xf numFmtId="164" fontId="0" fillId="2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2" fillId="3" borderId="1" xfId="0" applyNumberFormat="1" applyFont="1" applyFill="1" applyBorder="1"/>
    <xf numFmtId="165" fontId="0" fillId="2" borderId="1" xfId="0" applyNumberFormat="1" applyFill="1" applyBorder="1"/>
    <xf numFmtId="165" fontId="0" fillId="0" borderId="0" xfId="0" applyNumberFormat="1"/>
    <xf numFmtId="0" fontId="1" fillId="0" borderId="1" xfId="0" applyFont="1" applyBorder="1"/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7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2" fillId="3" borderId="1" xfId="0" applyNumberFormat="1" applyFont="1" applyFill="1" applyBorder="1" applyAlignment="1">
      <alignment horizontal="left" vertical="top"/>
    </xf>
    <xf numFmtId="165" fontId="1" fillId="0" borderId="0" xfId="0" applyNumberFormat="1" applyFont="1"/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14" fontId="0" fillId="4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4" borderId="0" xfId="0" applyFont="1" applyFill="1"/>
    <xf numFmtId="0" fontId="1" fillId="2" borderId="2" xfId="0" applyFont="1" applyFill="1" applyBorder="1"/>
    <xf numFmtId="0" fontId="6" fillId="3" borderId="3" xfId="0" applyFont="1" applyFill="1" applyBorder="1"/>
    <xf numFmtId="165" fontId="0" fillId="0" borderId="0" xfId="0" applyNumberFormat="1" applyAlignment="1">
      <alignment horizontal="center" vertical="center"/>
    </xf>
    <xf numFmtId="14" fontId="0" fillId="2" borderId="9" xfId="0" applyNumberFormat="1" applyFill="1" applyBorder="1" applyAlignment="1">
      <alignment horizontal="center" vertical="center"/>
    </xf>
    <xf numFmtId="14" fontId="0" fillId="2" borderId="11" xfId="0" applyNumberFormat="1" applyFill="1" applyBorder="1" applyAlignment="1">
      <alignment horizontal="center" vertical="center"/>
    </xf>
    <xf numFmtId="0" fontId="0" fillId="2" borderId="8" xfId="0" applyFill="1" applyBorder="1"/>
    <xf numFmtId="0" fontId="0" fillId="2" borderId="10" xfId="0" applyFill="1" applyBorder="1"/>
    <xf numFmtId="7" fontId="0" fillId="2" borderId="10" xfId="0" applyNumberFormat="1" applyFill="1" applyBorder="1"/>
    <xf numFmtId="0" fontId="2" fillId="3" borderId="11" xfId="0" applyFont="1" applyFill="1" applyBorder="1"/>
    <xf numFmtId="0" fontId="2" fillId="3" borderId="2" xfId="0" applyFont="1" applyFill="1" applyBorder="1" applyAlignment="1">
      <alignment horizontal="center" vertical="center"/>
    </xf>
    <xf numFmtId="7" fontId="0" fillId="2" borderId="11" xfId="0" applyNumberFormat="1" applyFill="1" applyBorder="1"/>
    <xf numFmtId="0" fontId="1" fillId="2" borderId="11" xfId="0" applyFont="1" applyFill="1" applyBorder="1"/>
    <xf numFmtId="14" fontId="0" fillId="2" borderId="2" xfId="0" applyNumberFormat="1" applyFill="1" applyBorder="1" applyAlignment="1">
      <alignment horizontal="center" vertical="center"/>
    </xf>
    <xf numFmtId="7" fontId="1" fillId="2" borderId="11" xfId="0" applyNumberFormat="1" applyFont="1" applyFill="1" applyBorder="1"/>
    <xf numFmtId="0" fontId="0" fillId="2" borderId="11" xfId="0" applyFill="1" applyBorder="1"/>
    <xf numFmtId="0" fontId="0" fillId="2" borderId="9" xfId="0" applyFill="1" applyBorder="1"/>
    <xf numFmtId="0" fontId="1" fillId="2" borderId="9" xfId="0" applyFont="1" applyFill="1" applyBorder="1"/>
    <xf numFmtId="14" fontId="0" fillId="2" borderId="1" xfId="0" applyNumberForma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7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2" fillId="2" borderId="1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/>
    <xf numFmtId="0" fontId="0" fillId="5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6" fillId="5" borderId="0" xfId="0" applyFont="1" applyFill="1"/>
    <xf numFmtId="14" fontId="0" fillId="5" borderId="0" xfId="0" applyNumberFormat="1" applyFill="1"/>
    <xf numFmtId="0" fontId="0" fillId="0" borderId="6" xfId="0" applyBorder="1"/>
    <xf numFmtId="0" fontId="7" fillId="5" borderId="13" xfId="0" applyFont="1" applyFill="1" applyBorder="1"/>
    <xf numFmtId="0" fontId="0" fillId="5" borderId="23" xfId="0" applyFill="1" applyBorder="1"/>
    <xf numFmtId="0" fontId="0" fillId="5" borderId="25" xfId="0" applyFill="1" applyBorder="1"/>
    <xf numFmtId="0" fontId="8" fillId="5" borderId="17" xfId="0" applyFont="1" applyFill="1" applyBorder="1"/>
    <xf numFmtId="0" fontId="8" fillId="5" borderId="24" xfId="0" applyFont="1" applyFill="1" applyBorder="1"/>
    <xf numFmtId="165" fontId="1" fillId="5" borderId="28" xfId="0" applyNumberFormat="1" applyFont="1" applyFill="1" applyBorder="1"/>
    <xf numFmtId="165" fontId="1" fillId="5" borderId="27" xfId="0" applyNumberFormat="1" applyFont="1" applyFill="1" applyBorder="1"/>
    <xf numFmtId="10" fontId="1" fillId="5" borderId="26" xfId="0" applyNumberFormat="1" applyFont="1" applyFill="1" applyBorder="1"/>
    <xf numFmtId="0" fontId="7" fillId="2" borderId="4" xfId="0" applyFont="1" applyFill="1" applyBorder="1"/>
    <xf numFmtId="0" fontId="0" fillId="2" borderId="20" xfId="0" applyFill="1" applyBorder="1"/>
    <xf numFmtId="0" fontId="6" fillId="2" borderId="6" xfId="0" applyFont="1" applyFill="1" applyBorder="1"/>
    <xf numFmtId="0" fontId="6" fillId="2" borderId="0" xfId="0" applyFont="1" applyFill="1"/>
    <xf numFmtId="165" fontId="6" fillId="2" borderId="21" xfId="0" applyNumberFormat="1" applyFont="1" applyFill="1" applyBorder="1"/>
    <xf numFmtId="165" fontId="6" fillId="2" borderId="18" xfId="0" applyNumberFormat="1" applyFont="1" applyFill="1" applyBorder="1"/>
    <xf numFmtId="0" fontId="0" fillId="2" borderId="6" xfId="0" applyFill="1" applyBorder="1"/>
    <xf numFmtId="0" fontId="0" fillId="2" borderId="18" xfId="0" applyFill="1" applyBorder="1"/>
    <xf numFmtId="0" fontId="6" fillId="2" borderId="7" xfId="0" applyFont="1" applyFill="1" applyBorder="1"/>
    <xf numFmtId="10" fontId="6" fillId="2" borderId="19" xfId="0" applyNumberFormat="1" applyFont="1" applyFill="1" applyBorder="1"/>
    <xf numFmtId="0" fontId="0" fillId="3" borderId="0" xfId="0" applyFill="1"/>
    <xf numFmtId="0" fontId="8" fillId="6" borderId="6" xfId="0" applyFont="1" applyFill="1" applyBorder="1"/>
    <xf numFmtId="0" fontId="8" fillId="6" borderId="7" xfId="0" applyFont="1" applyFill="1" applyBorder="1"/>
    <xf numFmtId="0" fontId="6" fillId="6" borderId="0" xfId="0" applyFont="1" applyFill="1"/>
    <xf numFmtId="0" fontId="0" fillId="6" borderId="16" xfId="0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6" borderId="17" xfId="0" applyFont="1" applyFill="1" applyBorder="1"/>
    <xf numFmtId="0" fontId="8" fillId="6" borderId="24" xfId="0" applyFont="1" applyFill="1" applyBorder="1"/>
    <xf numFmtId="0" fontId="0" fillId="6" borderId="25" xfId="0" applyFill="1" applyBorder="1"/>
    <xf numFmtId="0" fontId="8" fillId="4" borderId="4" xfId="0" applyFont="1" applyFill="1" applyBorder="1"/>
    <xf numFmtId="0" fontId="8" fillId="4" borderId="5" xfId="0" applyFont="1" applyFill="1" applyBorder="1"/>
    <xf numFmtId="0" fontId="7" fillId="4" borderId="4" xfId="0" applyFont="1" applyFill="1" applyBorder="1"/>
    <xf numFmtId="0" fontId="0" fillId="4" borderId="15" xfId="0" applyFill="1" applyBorder="1"/>
    <xf numFmtId="0" fontId="0" fillId="4" borderId="20" xfId="0" applyFill="1" applyBorder="1"/>
    <xf numFmtId="0" fontId="7" fillId="4" borderId="13" xfId="0" applyFont="1" applyFill="1" applyBorder="1"/>
    <xf numFmtId="0" fontId="0" fillId="4" borderId="14" xfId="0" applyFill="1" applyBorder="1"/>
    <xf numFmtId="0" fontId="0" fillId="4" borderId="23" xfId="0" applyFill="1" applyBorder="1"/>
    <xf numFmtId="165" fontId="8" fillId="7" borderId="12" xfId="0" applyNumberFormat="1" applyFont="1" applyFill="1" applyBorder="1"/>
    <xf numFmtId="165" fontId="1" fillId="7" borderId="21" xfId="0" applyNumberFormat="1" applyFont="1" applyFill="1" applyBorder="1"/>
    <xf numFmtId="165" fontId="6" fillId="7" borderId="12" xfId="0" applyNumberFormat="1" applyFont="1" applyFill="1" applyBorder="1"/>
    <xf numFmtId="10" fontId="6" fillId="7" borderId="12" xfId="0" applyNumberFormat="1" applyFont="1" applyFill="1" applyBorder="1"/>
    <xf numFmtId="165" fontId="1" fillId="7" borderId="28" xfId="0" applyNumberFormat="1" applyFont="1" applyFill="1" applyBorder="1"/>
    <xf numFmtId="10" fontId="1" fillId="7" borderId="26" xfId="0" applyNumberFormat="1" applyFont="1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33" xfId="0" applyFill="1" applyBorder="1"/>
    <xf numFmtId="0" fontId="0" fillId="3" borderId="34" xfId="0" applyFill="1" applyBorder="1"/>
    <xf numFmtId="0" fontId="0" fillId="3" borderId="35" xfId="0" applyFill="1" applyBorder="1"/>
    <xf numFmtId="0" fontId="0" fillId="3" borderId="36" xfId="0" applyFill="1" applyBorder="1"/>
    <xf numFmtId="0" fontId="0" fillId="2" borderId="33" xfId="0" applyFill="1" applyBorder="1"/>
    <xf numFmtId="10" fontId="1" fillId="7" borderId="22" xfId="0" applyNumberFormat="1" applyFont="1" applyFill="1" applyBorder="1"/>
  </cellXfs>
  <cellStyles count="1">
    <cellStyle name="Normal" xfId="0" builtinId="0"/>
  </cellStyles>
  <dxfs count="9">
    <dxf>
      <numFmt numFmtId="165" formatCode="&quot;$&quot;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&quot;$&quot;#,##0.00"/>
    </dxf>
    <dxf>
      <numFmt numFmtId="165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[Sharma Moksha - Financial Planning Tool .xlsm]Income!PivotTable1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Income Distribution By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3173580289873872"/>
          <c:y val="0.26123174036313596"/>
          <c:w val="0.39149144670036301"/>
          <c:h val="0.65911667536722185"/>
        </c:manualLayout>
      </c:layout>
      <c:pieChart>
        <c:varyColors val="1"/>
        <c:ser>
          <c:idx val="0"/>
          <c:order val="0"/>
          <c:tx>
            <c:strRef>
              <c:f>Income!$K$1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D9-4B29-BC91-B8C9E349D4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D9-4B29-BC91-B8C9E349D4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6D9-4B29-BC91-B8C9E349D4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5CC-4E0F-B59B-0FD8F57940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Income!$J$2:$J$6</c:f>
              <c:strCache>
                <c:ptCount val="4"/>
                <c:pt idx="0">
                  <c:v>Ajax</c:v>
                </c:pt>
                <c:pt idx="1">
                  <c:v>Mom</c:v>
                </c:pt>
                <c:pt idx="2">
                  <c:v>Dad</c:v>
                </c:pt>
                <c:pt idx="3">
                  <c:v>Aunt</c:v>
                </c:pt>
              </c:strCache>
            </c:strRef>
          </c:cat>
          <c:val>
            <c:numRef>
              <c:f>Income!$K$2:$K$6</c:f>
              <c:numCache>
                <c:formatCode>General</c:formatCode>
                <c:ptCount val="4"/>
                <c:pt idx="0">
                  <c:v>2400</c:v>
                </c:pt>
                <c:pt idx="1">
                  <c:v>900</c:v>
                </c:pt>
                <c:pt idx="2">
                  <c:v>300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3-46BB-9587-66C5BBF6BD1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[Sharma Moksha - Financial Planning Tool .xlsm]Expense!PivotTable2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</a:t>
            </a:r>
            <a:r>
              <a:rPr lang="en-US" baseline="0"/>
              <a:t> Distribution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Expense!$M$1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646-4BAD-90CC-F3A0B3A39B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46-4BAD-90CC-F3A0B3A39BC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FBD-4813-8F6B-00946C0D114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FBD-4813-8F6B-00946C0D114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FBD-4813-8F6B-00946C0D11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Expense!$L$2:$L$7</c:f>
              <c:strCache>
                <c:ptCount val="5"/>
                <c:pt idx="0">
                  <c:v>Transportation</c:v>
                </c:pt>
                <c:pt idx="1">
                  <c:v>Personal Care</c:v>
                </c:pt>
                <c:pt idx="2">
                  <c:v>Entertainment</c:v>
                </c:pt>
                <c:pt idx="3">
                  <c:v>Apparel </c:v>
                </c:pt>
                <c:pt idx="4">
                  <c:v>Food</c:v>
                </c:pt>
              </c:strCache>
            </c:strRef>
          </c:cat>
          <c:val>
            <c:numRef>
              <c:f>Expense!$M$2:$M$7</c:f>
              <c:numCache>
                <c:formatCode>General</c:formatCode>
                <c:ptCount val="5"/>
                <c:pt idx="0">
                  <c:v>2.5</c:v>
                </c:pt>
                <c:pt idx="1">
                  <c:v>12</c:v>
                </c:pt>
                <c:pt idx="2">
                  <c:v>86</c:v>
                </c:pt>
                <c:pt idx="3">
                  <c:v>12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0-4024-BB5A-91967C0064C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Overall Loan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E6B4-45CE-BD9C-E6E2519E9DE3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6B4-45CE-BD9C-E6E2519E9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Loan!$N$8:$N$10</c15:sqref>
                  </c15:fullRef>
                </c:ext>
              </c:extLst>
              <c:f>(Loan!$N$8,Loan!$N$10)</c:f>
              <c:strCache>
                <c:ptCount val="2"/>
                <c:pt idx="0">
                  <c:v>Total Amount Repaid :</c:v>
                </c:pt>
                <c:pt idx="1">
                  <c:v>Total Remaining Loan :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Loan!$P$8:$P$10</c15:sqref>
                  </c15:fullRef>
                </c:ext>
              </c:extLst>
              <c:f>(Loan!$P$8,Loan!$P$10)</c:f>
              <c:numCache>
                <c:formatCode>"$"#,##0.00</c:formatCode>
                <c:ptCount val="2"/>
                <c:pt idx="0">
                  <c:v>5050</c:v>
                </c:pt>
                <c:pt idx="1">
                  <c:v>9050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E6B4-45CE-BD9C-E6E2519E9DE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0D8C-45F5-869F-92E6DD1F90F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0D8C-45F5-869F-92E6DD1F90F9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Loan!$N$8:$N$10</c15:sqref>
                        </c15:fullRef>
                        <c15:formulaRef>
                          <c15:sqref>(Loan!$N$8,Loan!$N$10)</c15:sqref>
                        </c15:formulaRef>
                      </c:ext>
                    </c:extLst>
                    <c:strCache>
                      <c:ptCount val="2"/>
                      <c:pt idx="0">
                        <c:v>Total Amount Repaid :</c:v>
                      </c:pt>
                      <c:pt idx="1">
                        <c:v>Total Remaining Loan 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Loan!$O$8:$O$10</c15:sqref>
                        </c15:fullRef>
                        <c15:formulaRef>
                          <c15:sqref>(Loan!$O$8,Loan!$O$10)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0-E6B4-45CE-BD9C-E6E2519E9DE3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[Sharma Moksha - Financial Planning Tool .xlsm]Tuition!PivotTable3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Methods Of Payment of Contributed Tuition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Tuition!$K$1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004-42C8-8FBA-3CBCB223E0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004-42C8-8FBA-3CBCB223E03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561-4BC1-B6BC-BCF562F9F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004-42C8-8FBA-3CBCB223E0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Tuition!$J$2:$J$6</c:f>
              <c:strCache>
                <c:ptCount val="4"/>
                <c:pt idx="0">
                  <c:v>OSAP</c:v>
                </c:pt>
                <c:pt idx="1">
                  <c:v>Personal Funds</c:v>
                </c:pt>
                <c:pt idx="2">
                  <c:v>RESP</c:v>
                </c:pt>
                <c:pt idx="3">
                  <c:v>Scholarships</c:v>
                </c:pt>
              </c:strCache>
            </c:strRef>
          </c:cat>
          <c:val>
            <c:numRef>
              <c:f>Tuition!$K$2:$K$6</c:f>
              <c:numCache>
                <c:formatCode>General</c:formatCode>
                <c:ptCount val="4"/>
                <c:pt idx="0">
                  <c:v>5000</c:v>
                </c:pt>
                <c:pt idx="1">
                  <c:v>1500</c:v>
                </c:pt>
                <c:pt idx="2">
                  <c:v>9000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1-4BC1-B6BC-BCF562F9F7C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Overall Tuition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570-4629-871A-69693E60D33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6570-4629-871A-69693E60D3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Tuition!$M$3:$M$4</c:f>
              <c:strCache>
                <c:ptCount val="2"/>
                <c:pt idx="0">
                  <c:v>Total Amount Paid :</c:v>
                </c:pt>
                <c:pt idx="1">
                  <c:v>Remaining Balance :</c:v>
                </c:pt>
              </c:strCache>
            </c:strRef>
          </c:cat>
          <c:val>
            <c:numRef>
              <c:f>Tuition!$O$3:$O$4</c:f>
              <c:numCache>
                <c:formatCode>"$"#,##0.00</c:formatCode>
                <c:ptCount val="2"/>
                <c:pt idx="0">
                  <c:v>17500</c:v>
                </c:pt>
                <c:pt idx="1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0-4629-871A-69693E60D3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1C4E-4C92-979D-EF693827A09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1C4E-4C92-979D-EF693827A091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Tuition!$M$3:$M$4</c15:sqref>
                        </c15:formulaRef>
                      </c:ext>
                    </c:extLst>
                    <c:strCache>
                      <c:ptCount val="2"/>
                      <c:pt idx="0">
                        <c:v>Total Amount Paid :</c:v>
                      </c:pt>
                      <c:pt idx="1">
                        <c:v>Remaining Balance 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Tuition!$N$3:$N$4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70-4629-871A-69693E60D337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Progress</a:t>
            </a:r>
            <a:r>
              <a:rPr lang="en-CA" baseline="0"/>
              <a:t> to Savings Goal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D35-45B5-A66C-4379959312C9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7D35-45B5-A66C-4379959312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'Savings Goals'!$M$3:$M$4</c:f>
              <c:strCache>
                <c:ptCount val="2"/>
                <c:pt idx="0">
                  <c:v>Total Amount Saved :</c:v>
                </c:pt>
                <c:pt idx="1">
                  <c:v>Remaining Savings Needed :</c:v>
                </c:pt>
              </c:strCache>
            </c:strRef>
          </c:cat>
          <c:val>
            <c:numRef>
              <c:f>'Savings Goals'!$O$3:$O$4</c:f>
              <c:numCache>
                <c:formatCode>"$"#,##0.00</c:formatCode>
                <c:ptCount val="2"/>
                <c:pt idx="0">
                  <c:v>5100</c:v>
                </c:pt>
                <c:pt idx="1">
                  <c:v>76900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35-45B5-A66C-4379959312C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F870-4E41-9A47-6A6716163A6E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F870-4E41-9A47-6A6716163A6E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'Savings Goals'!$M$3:$M$4</c15:sqref>
                        </c15:formulaRef>
                      </c:ext>
                    </c:extLst>
                    <c:strCache>
                      <c:ptCount val="2"/>
                      <c:pt idx="0">
                        <c:v>Total Amount Saved :</c:v>
                      </c:pt>
                      <c:pt idx="1">
                        <c:v>Remaining Savings Needed 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'Savings Goals'!$N$3:$N$4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D35-45B5-A66C-4379959312C9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uition!A1"/><Relationship Id="rId2" Type="http://schemas.openxmlformats.org/officeDocument/2006/relationships/hyperlink" Target="#Expense!A1"/><Relationship Id="rId1" Type="http://schemas.openxmlformats.org/officeDocument/2006/relationships/hyperlink" Target="#Income!A1"/><Relationship Id="rId6" Type="http://schemas.openxmlformats.org/officeDocument/2006/relationships/hyperlink" Target="#Loan!A1"/><Relationship Id="rId5" Type="http://schemas.openxmlformats.org/officeDocument/2006/relationships/hyperlink" Target="#'Savings Goals'!A1"/><Relationship Id="rId4" Type="http://schemas.openxmlformats.org/officeDocument/2006/relationships/hyperlink" Target="#MyAdvic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Home Pag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446690</xdr:colOff>
      <xdr:row>0</xdr:row>
      <xdr:rowOff>153276</xdr:rowOff>
    </xdr:from>
    <xdr:to>
      <xdr:col>4</xdr:col>
      <xdr:colOff>529897</xdr:colOff>
      <xdr:row>2</xdr:row>
      <xdr:rowOff>70069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77B38D7-0AB7-D1D4-CFA8-8846D6C757C5}"/>
            </a:ext>
          </a:extLst>
        </xdr:cNvPr>
        <xdr:cNvSpPr/>
      </xdr:nvSpPr>
      <xdr:spPr>
        <a:xfrm>
          <a:off x="1056290" y="153276"/>
          <a:ext cx="1912007" cy="285093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 baseline="0"/>
            <a:t>Fiscal Focus - Hub</a:t>
          </a:r>
          <a:endParaRPr lang="en-CA" sz="1400" b="1"/>
        </a:p>
      </xdr:txBody>
    </xdr:sp>
    <xdr:clientData/>
  </xdr:twoCellAnchor>
  <xdr:twoCellAnchor>
    <xdr:from>
      <xdr:col>1</xdr:col>
      <xdr:colOff>54870</xdr:colOff>
      <xdr:row>4</xdr:row>
      <xdr:rowOff>33746</xdr:rowOff>
    </xdr:from>
    <xdr:to>
      <xdr:col>3</xdr:col>
      <xdr:colOff>151215</xdr:colOff>
      <xdr:row>8</xdr:row>
      <xdr:rowOff>7470</xdr:rowOff>
    </xdr:to>
    <xdr:sp macro="[0]!HomePage_RectangleRoundedCorners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38D2FD-9860-8FFC-EA9D-0B88F9CC72ED}"/>
            </a:ext>
          </a:extLst>
        </xdr:cNvPr>
        <xdr:cNvSpPr/>
      </xdr:nvSpPr>
      <xdr:spPr>
        <a:xfrm>
          <a:off x="667458" y="780805"/>
          <a:ext cx="1321522" cy="728253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Income</a:t>
          </a:r>
          <a:endParaRPr lang="en-CA" sz="1800" b="1"/>
        </a:p>
      </xdr:txBody>
    </xdr:sp>
    <xdr:clientData/>
  </xdr:twoCellAnchor>
  <xdr:twoCellAnchor>
    <xdr:from>
      <xdr:col>3</xdr:col>
      <xdr:colOff>288674</xdr:colOff>
      <xdr:row>4</xdr:row>
      <xdr:rowOff>44823</xdr:rowOff>
    </xdr:from>
    <xdr:to>
      <xdr:col>5</xdr:col>
      <xdr:colOff>385018</xdr:colOff>
      <xdr:row>7</xdr:row>
      <xdr:rowOff>181251</xdr:rowOff>
    </xdr:to>
    <xdr:sp macro="" textlink="">
      <xdr:nvSpPr>
        <xdr:cNvPr id="21" name="Rectangle: Rounded Corner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887EAC-D891-4A29-A45B-B0E23155EBA4}"/>
            </a:ext>
          </a:extLst>
        </xdr:cNvPr>
        <xdr:cNvSpPr/>
      </xdr:nvSpPr>
      <xdr:spPr>
        <a:xfrm>
          <a:off x="2126439" y="791882"/>
          <a:ext cx="1321520" cy="696722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Expenses</a:t>
          </a:r>
        </a:p>
      </xdr:txBody>
    </xdr:sp>
    <xdr:clientData/>
  </xdr:twoCellAnchor>
  <xdr:twoCellAnchor>
    <xdr:from>
      <xdr:col>3</xdr:col>
      <xdr:colOff>281252</xdr:colOff>
      <xdr:row>9</xdr:row>
      <xdr:rowOff>149885</xdr:rowOff>
    </xdr:from>
    <xdr:to>
      <xdr:col>5</xdr:col>
      <xdr:colOff>377597</xdr:colOff>
      <xdr:row>12</xdr:row>
      <xdr:rowOff>141382</xdr:rowOff>
    </xdr:to>
    <xdr:sp macro="" textlink="">
      <xdr:nvSpPr>
        <xdr:cNvPr id="22" name="Rectangle: Rounded Corner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F1D2A-BEF3-48A9-87AD-5D3512234EF2}"/>
            </a:ext>
          </a:extLst>
        </xdr:cNvPr>
        <xdr:cNvSpPr/>
      </xdr:nvSpPr>
      <xdr:spPr>
        <a:xfrm>
          <a:off x="2119017" y="1920414"/>
          <a:ext cx="1321521" cy="693733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Tuiton</a:t>
          </a:r>
          <a:endParaRPr lang="en-CA" sz="1800" b="1"/>
        </a:p>
      </xdr:txBody>
    </xdr:sp>
    <xdr:clientData/>
  </xdr:twoCellAnchor>
  <xdr:twoCellAnchor>
    <xdr:from>
      <xdr:col>3</xdr:col>
      <xdr:colOff>312839</xdr:colOff>
      <xdr:row>14</xdr:row>
      <xdr:rowOff>165727</xdr:rowOff>
    </xdr:from>
    <xdr:to>
      <xdr:col>5</xdr:col>
      <xdr:colOff>409183</xdr:colOff>
      <xdr:row>17</xdr:row>
      <xdr:rowOff>187108</xdr:rowOff>
    </xdr:to>
    <xdr:sp macro="" textlink="">
      <xdr:nvSpPr>
        <xdr:cNvPr id="24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B076483-B371-49F6-B705-B54ACBEF4E95}"/>
            </a:ext>
          </a:extLst>
        </xdr:cNvPr>
        <xdr:cNvSpPr/>
      </xdr:nvSpPr>
      <xdr:spPr>
        <a:xfrm>
          <a:off x="2150604" y="3071786"/>
          <a:ext cx="1321520" cy="753498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MyAdvice</a:t>
          </a:r>
        </a:p>
      </xdr:txBody>
    </xdr:sp>
    <xdr:clientData/>
  </xdr:twoCellAnchor>
  <xdr:twoCellAnchor>
    <xdr:from>
      <xdr:col>1</xdr:col>
      <xdr:colOff>22751</xdr:colOff>
      <xdr:row>14</xdr:row>
      <xdr:rowOff>146315</xdr:rowOff>
    </xdr:from>
    <xdr:to>
      <xdr:col>3</xdr:col>
      <xdr:colOff>119096</xdr:colOff>
      <xdr:row>17</xdr:row>
      <xdr:rowOff>167696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244FE6-29C8-44CB-9797-34D2303B4D24}"/>
            </a:ext>
          </a:extLst>
        </xdr:cNvPr>
        <xdr:cNvSpPr/>
      </xdr:nvSpPr>
      <xdr:spPr>
        <a:xfrm>
          <a:off x="635339" y="3052374"/>
          <a:ext cx="1321522" cy="753498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Savings</a:t>
          </a:r>
          <a:r>
            <a:rPr lang="en-CA" sz="1400" b="1" baseline="0"/>
            <a:t> Goals</a:t>
          </a:r>
          <a:endParaRPr lang="en-CA" sz="1400" b="1"/>
        </a:p>
      </xdr:txBody>
    </xdr:sp>
    <xdr:clientData/>
  </xdr:twoCellAnchor>
  <xdr:twoCellAnchor>
    <xdr:from>
      <xdr:col>0</xdr:col>
      <xdr:colOff>609880</xdr:colOff>
      <xdr:row>9</xdr:row>
      <xdr:rowOff>136441</xdr:rowOff>
    </xdr:from>
    <xdr:to>
      <xdr:col>3</xdr:col>
      <xdr:colOff>93637</xdr:colOff>
      <xdr:row>12</xdr:row>
      <xdr:rowOff>127938</xdr:rowOff>
    </xdr:to>
    <xdr:sp macro="[0]!HomePage_RectangleRoundedCorners2_Click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EC6A31F-ECD9-4296-A917-26CCE181885C}"/>
            </a:ext>
          </a:extLst>
        </xdr:cNvPr>
        <xdr:cNvSpPr/>
      </xdr:nvSpPr>
      <xdr:spPr>
        <a:xfrm>
          <a:off x="609880" y="1906970"/>
          <a:ext cx="1321522" cy="693733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Loan</a:t>
          </a:r>
          <a:endParaRPr lang="en-CA" sz="1400" b="1"/>
        </a:p>
      </xdr:txBody>
    </xdr:sp>
    <xdr:clientData/>
  </xdr:twoCellAnchor>
  <xdr:twoCellAnchor>
    <xdr:from>
      <xdr:col>10</xdr:col>
      <xdr:colOff>115614</xdr:colOff>
      <xdr:row>1</xdr:row>
      <xdr:rowOff>13576</xdr:rowOff>
    </xdr:from>
    <xdr:to>
      <xdr:col>12</xdr:col>
      <xdr:colOff>317500</xdr:colOff>
      <xdr:row>3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7604E02-2CCB-49EB-BA93-32340C412B77}"/>
            </a:ext>
          </a:extLst>
        </xdr:cNvPr>
        <xdr:cNvSpPr/>
      </xdr:nvSpPr>
      <xdr:spPr>
        <a:xfrm>
          <a:off x="8345214" y="197726"/>
          <a:ext cx="2760936" cy="488074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/>
            <a:t>Account</a:t>
          </a:r>
          <a:r>
            <a:rPr lang="en-CA" sz="2000" b="1" baseline="0"/>
            <a:t> Overview</a:t>
          </a:r>
          <a:endParaRPr lang="en-CA" sz="2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0</xdr:row>
      <xdr:rowOff>139700</xdr:rowOff>
    </xdr:from>
    <xdr:to>
      <xdr:col>3</xdr:col>
      <xdr:colOff>321988</xdr:colOff>
      <xdr:row>2</xdr:row>
      <xdr:rowOff>55548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2987BDB-3195-4D23-90F3-D64EB1EFDC60}"/>
            </a:ext>
          </a:extLst>
        </xdr:cNvPr>
        <xdr:cNvSpPr/>
      </xdr:nvSpPr>
      <xdr:spPr>
        <a:xfrm>
          <a:off x="241300" y="139700"/>
          <a:ext cx="1909488" cy="284148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/>
            <a:t>Income</a:t>
          </a:r>
          <a:endParaRPr lang="en-CA" sz="1400" b="1" baseline="0"/>
        </a:p>
        <a:p>
          <a:pPr algn="ctr"/>
          <a:r>
            <a:rPr lang="en-CA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CA" sz="1400"/>
            <a:t> </a:t>
          </a:r>
          <a:endParaRPr lang="en-CA" sz="1400" b="1"/>
        </a:p>
      </xdr:txBody>
    </xdr:sp>
    <xdr:clientData/>
  </xdr:twoCellAnchor>
  <xdr:twoCellAnchor>
    <xdr:from>
      <xdr:col>0</xdr:col>
      <xdr:colOff>459567</xdr:colOff>
      <xdr:row>3</xdr:row>
      <xdr:rowOff>36180</xdr:rowOff>
    </xdr:from>
    <xdr:to>
      <xdr:col>3</xdr:col>
      <xdr:colOff>181429</xdr:colOff>
      <xdr:row>7</xdr:row>
      <xdr:rowOff>163286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BCA4CF5-1157-42C0-A184-2F70F55B9A18}"/>
            </a:ext>
          </a:extLst>
        </xdr:cNvPr>
        <xdr:cNvSpPr/>
      </xdr:nvSpPr>
      <xdr:spPr>
        <a:xfrm>
          <a:off x="459567" y="580466"/>
          <a:ext cx="1620814" cy="852820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New Entry</a:t>
          </a:r>
        </a:p>
      </xdr:txBody>
    </xdr:sp>
    <xdr:clientData/>
  </xdr:twoCellAnchor>
  <xdr:twoCellAnchor editAs="oneCell">
    <xdr:from>
      <xdr:col>3</xdr:col>
      <xdr:colOff>395653</xdr:colOff>
      <xdr:row>0</xdr:row>
      <xdr:rowOff>19538</xdr:rowOff>
    </xdr:from>
    <xdr:to>
      <xdr:col>4</xdr:col>
      <xdr:colOff>238646</xdr:colOff>
      <xdr:row>2</xdr:row>
      <xdr:rowOff>101878</xdr:rowOff>
    </xdr:to>
    <xdr:pic>
      <xdr:nvPicPr>
        <xdr:cNvPr id="8" name="Graphic 7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A304B2-FF8D-45B1-9036-8C3C24F01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27384" y="19538"/>
          <a:ext cx="453571" cy="453571"/>
        </a:xfrm>
        <a:prstGeom prst="rect">
          <a:avLst/>
        </a:prstGeom>
      </xdr:spPr>
    </xdr:pic>
    <xdr:clientData/>
  </xdr:twoCellAnchor>
  <xdr:twoCellAnchor>
    <xdr:from>
      <xdr:col>0</xdr:col>
      <xdr:colOff>556381</xdr:colOff>
      <xdr:row>10</xdr:row>
      <xdr:rowOff>30238</xdr:rowOff>
    </xdr:from>
    <xdr:to>
      <xdr:col>3</xdr:col>
      <xdr:colOff>114906</xdr:colOff>
      <xdr:row>12</xdr:row>
      <xdr:rowOff>78619</xdr:rowOff>
    </xdr:to>
    <xdr:sp macro="[0]!Icome_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9652BCB-55C2-4CAA-D914-C6BDB2A14F5B}"/>
            </a:ext>
          </a:extLst>
        </xdr:cNvPr>
        <xdr:cNvSpPr/>
      </xdr:nvSpPr>
      <xdr:spPr>
        <a:xfrm>
          <a:off x="556381" y="1844524"/>
          <a:ext cx="1457477" cy="411238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Clear Entries</a:t>
          </a:r>
        </a:p>
      </xdr:txBody>
    </xdr:sp>
    <xdr:clientData/>
  </xdr:twoCellAnchor>
  <xdr:twoCellAnchor>
    <xdr:from>
      <xdr:col>11</xdr:col>
      <xdr:colOff>340959</xdr:colOff>
      <xdr:row>0</xdr:row>
      <xdr:rowOff>0</xdr:rowOff>
    </xdr:from>
    <xdr:to>
      <xdr:col>19</xdr:col>
      <xdr:colOff>181994</xdr:colOff>
      <xdr:row>14</xdr:row>
      <xdr:rowOff>159512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28F1F3A-D91A-080E-B80A-B19FB505C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376000</xdr:colOff>
      <xdr:row>3</xdr:row>
      <xdr:rowOff>44271</xdr:rowOff>
    </xdr:from>
    <xdr:to>
      <xdr:col>2</xdr:col>
      <xdr:colOff>523078</xdr:colOff>
      <xdr:row>6</xdr:row>
      <xdr:rowOff>31220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DAB3AC-7AFF-4C1E-835B-341EB20F1A56}"/>
            </a:ext>
          </a:extLst>
        </xdr:cNvPr>
        <xdr:cNvSpPr/>
      </xdr:nvSpPr>
      <xdr:spPr>
        <a:xfrm>
          <a:off x="376000" y="601117"/>
          <a:ext cx="1368232" cy="543795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 New Entry </a:t>
          </a:r>
          <a:endParaRPr lang="en-CA" sz="1800" b="1"/>
        </a:p>
      </xdr:txBody>
    </xdr:sp>
    <xdr:clientData/>
  </xdr:twoCellAnchor>
  <xdr:twoCellAnchor>
    <xdr:from>
      <xdr:col>0</xdr:col>
      <xdr:colOff>160131</xdr:colOff>
      <xdr:row>0</xdr:row>
      <xdr:rowOff>115956</xdr:rowOff>
    </xdr:from>
    <xdr:to>
      <xdr:col>3</xdr:col>
      <xdr:colOff>247445</xdr:colOff>
      <xdr:row>2</xdr:row>
      <xdr:rowOff>35669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BE7EB35-AEE3-4972-8193-3D1E4A474C09}"/>
            </a:ext>
          </a:extLst>
        </xdr:cNvPr>
        <xdr:cNvSpPr/>
      </xdr:nvSpPr>
      <xdr:spPr>
        <a:xfrm>
          <a:off x="160131" y="115956"/>
          <a:ext cx="1909488" cy="284148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/>
            <a:t>Expenses</a:t>
          </a:r>
        </a:p>
      </xdr:txBody>
    </xdr:sp>
    <xdr:clientData/>
  </xdr:twoCellAnchor>
  <xdr:twoCellAnchor editAs="oneCell">
    <xdr:from>
      <xdr:col>3</xdr:col>
      <xdr:colOff>414694</xdr:colOff>
      <xdr:row>0</xdr:row>
      <xdr:rowOff>21599</xdr:rowOff>
    </xdr:from>
    <xdr:to>
      <xdr:col>4</xdr:col>
      <xdr:colOff>259185</xdr:colOff>
      <xdr:row>2</xdr:row>
      <xdr:rowOff>96202</xdr:rowOff>
    </xdr:to>
    <xdr:pic>
      <xdr:nvPicPr>
        <xdr:cNvPr id="8" name="Graphic 7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8A2959-EDD5-9523-1206-562075623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41939" y="21599"/>
          <a:ext cx="453571" cy="453571"/>
        </a:xfrm>
        <a:prstGeom prst="rect">
          <a:avLst/>
        </a:prstGeom>
      </xdr:spPr>
    </xdr:pic>
    <xdr:clientData/>
  </xdr:twoCellAnchor>
  <xdr:twoCellAnchor>
    <xdr:from>
      <xdr:col>0</xdr:col>
      <xdr:colOff>384455</xdr:colOff>
      <xdr:row>7</xdr:row>
      <xdr:rowOff>47518</xdr:rowOff>
    </xdr:from>
    <xdr:to>
      <xdr:col>2</xdr:col>
      <xdr:colOff>522895</xdr:colOff>
      <xdr:row>9</xdr:row>
      <xdr:rowOff>38877</xdr:rowOff>
    </xdr:to>
    <xdr:sp macro="[0]!Clear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30AB28-4156-4891-AB40-13BE4C73A285}"/>
            </a:ext>
          </a:extLst>
        </xdr:cNvPr>
        <xdr:cNvSpPr/>
      </xdr:nvSpPr>
      <xdr:spPr>
        <a:xfrm>
          <a:off x="384455" y="1347756"/>
          <a:ext cx="1356603" cy="362856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baseline="0"/>
            <a:t>Clear Entries </a:t>
          </a:r>
          <a:endParaRPr lang="en-CA" sz="1400" b="1"/>
        </a:p>
      </xdr:txBody>
    </xdr:sp>
    <xdr:clientData/>
  </xdr:twoCellAnchor>
  <xdr:twoCellAnchor>
    <xdr:from>
      <xdr:col>10</xdr:col>
      <xdr:colOff>74705</xdr:colOff>
      <xdr:row>11</xdr:row>
      <xdr:rowOff>164354</xdr:rowOff>
    </xdr:from>
    <xdr:to>
      <xdr:col>14</xdr:col>
      <xdr:colOff>321235</xdr:colOff>
      <xdr:row>26</xdr:row>
      <xdr:rowOff>106083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68226AA-AAD0-FE7B-1685-17FA03EB7F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0</xdr:row>
      <xdr:rowOff>139700</xdr:rowOff>
    </xdr:from>
    <xdr:to>
      <xdr:col>3</xdr:col>
      <xdr:colOff>321988</xdr:colOff>
      <xdr:row>2</xdr:row>
      <xdr:rowOff>55548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B3ABEC-8A52-4F3D-9947-61604414C946}"/>
            </a:ext>
          </a:extLst>
        </xdr:cNvPr>
        <xdr:cNvSpPr/>
      </xdr:nvSpPr>
      <xdr:spPr>
        <a:xfrm>
          <a:off x="241300" y="139700"/>
          <a:ext cx="1979338" cy="284148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 baseline="0"/>
            <a:t>Loans</a:t>
          </a:r>
          <a:r>
            <a:rPr lang="en-CA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CA" sz="1400"/>
            <a:t> </a:t>
          </a:r>
          <a:endParaRPr lang="en-CA" sz="1400" b="1"/>
        </a:p>
      </xdr:txBody>
    </xdr:sp>
    <xdr:clientData/>
  </xdr:twoCellAnchor>
  <xdr:twoCellAnchor editAs="oneCell">
    <xdr:from>
      <xdr:col>3</xdr:col>
      <xdr:colOff>395653</xdr:colOff>
      <xdr:row>0</xdr:row>
      <xdr:rowOff>19538</xdr:rowOff>
    </xdr:from>
    <xdr:to>
      <xdr:col>4</xdr:col>
      <xdr:colOff>238646</xdr:colOff>
      <xdr:row>2</xdr:row>
      <xdr:rowOff>101878</xdr:rowOff>
    </xdr:to>
    <xdr:pic>
      <xdr:nvPicPr>
        <xdr:cNvPr id="4" name="Graphic 3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A7E36E-75B2-43E1-85AF-922D4B42C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94303" y="19538"/>
          <a:ext cx="452593" cy="450640"/>
        </a:xfrm>
        <a:prstGeom prst="rect">
          <a:avLst/>
        </a:prstGeom>
      </xdr:spPr>
    </xdr:pic>
    <xdr:clientData/>
  </xdr:twoCellAnchor>
  <xdr:twoCellAnchor>
    <xdr:from>
      <xdr:col>0</xdr:col>
      <xdr:colOff>485963</xdr:colOff>
      <xdr:row>18</xdr:row>
      <xdr:rowOff>20245</xdr:rowOff>
    </xdr:from>
    <xdr:to>
      <xdr:col>2</xdr:col>
      <xdr:colOff>524196</xdr:colOff>
      <xdr:row>20</xdr:row>
      <xdr:rowOff>106346</xdr:rowOff>
    </xdr:to>
    <xdr:sp macro="[0]!RectangleRoundedCorners2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7574B75-0753-4F3F-B43A-4573502279F9}"/>
            </a:ext>
          </a:extLst>
        </xdr:cNvPr>
        <xdr:cNvSpPr/>
      </xdr:nvSpPr>
      <xdr:spPr>
        <a:xfrm>
          <a:off x="485963" y="3285959"/>
          <a:ext cx="1326376" cy="448958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 Entries</a:t>
          </a:r>
        </a:p>
      </xdr:txBody>
    </xdr:sp>
    <xdr:clientData/>
  </xdr:twoCellAnchor>
  <xdr:twoCellAnchor>
    <xdr:from>
      <xdr:col>0</xdr:col>
      <xdr:colOff>231588</xdr:colOff>
      <xdr:row>4</xdr:row>
      <xdr:rowOff>119530</xdr:rowOff>
    </xdr:from>
    <xdr:to>
      <xdr:col>3</xdr:col>
      <xdr:colOff>351118</xdr:colOff>
      <xdr:row>9</xdr:row>
      <xdr:rowOff>151191</xdr:rowOff>
    </xdr:to>
    <xdr:sp macro="[0]!Loan_RectangleRoundedCorners5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41B1AAE-0D53-C846-2DAA-F26489AB96D7}"/>
            </a:ext>
          </a:extLst>
        </xdr:cNvPr>
        <xdr:cNvSpPr/>
      </xdr:nvSpPr>
      <xdr:spPr>
        <a:xfrm>
          <a:off x="231588" y="874059"/>
          <a:ext cx="2024530" cy="1226956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/>
            <a:t>New Entry</a:t>
          </a:r>
        </a:p>
      </xdr:txBody>
    </xdr:sp>
    <xdr:clientData/>
  </xdr:twoCellAnchor>
  <xdr:twoCellAnchor>
    <xdr:from>
      <xdr:col>0</xdr:col>
      <xdr:colOff>235858</xdr:colOff>
      <xdr:row>11</xdr:row>
      <xdr:rowOff>6046</xdr:rowOff>
    </xdr:from>
    <xdr:to>
      <xdr:col>3</xdr:col>
      <xdr:colOff>254000</xdr:colOff>
      <xdr:row>16</xdr:row>
      <xdr:rowOff>108856</xdr:rowOff>
    </xdr:to>
    <xdr:sp macro="[0]!Loan_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A100B8A-66B1-5527-F47D-60388D25282D}"/>
            </a:ext>
          </a:extLst>
        </xdr:cNvPr>
        <xdr:cNvSpPr/>
      </xdr:nvSpPr>
      <xdr:spPr>
        <a:xfrm>
          <a:off x="235858" y="2001760"/>
          <a:ext cx="1917094" cy="1009953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 b="1"/>
            <a:t>Loan Repayment</a:t>
          </a:r>
        </a:p>
      </xdr:txBody>
    </xdr:sp>
    <xdr:clientData/>
  </xdr:twoCellAnchor>
  <xdr:twoCellAnchor>
    <xdr:from>
      <xdr:col>8</xdr:col>
      <xdr:colOff>816429</xdr:colOff>
      <xdr:row>0</xdr:row>
      <xdr:rowOff>0</xdr:rowOff>
    </xdr:from>
    <xdr:to>
      <xdr:col>12</xdr:col>
      <xdr:colOff>12095</xdr:colOff>
      <xdr:row>1</xdr:row>
      <xdr:rowOff>6046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FF1E840-43F7-4BDB-93D1-04E48441009E}"/>
            </a:ext>
          </a:extLst>
        </xdr:cNvPr>
        <xdr:cNvSpPr/>
      </xdr:nvSpPr>
      <xdr:spPr>
        <a:xfrm>
          <a:off x="5956905" y="0"/>
          <a:ext cx="2781904" cy="1874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baseline="0">
              <a:solidFill>
                <a:sysClr val="windowText" lastClr="000000"/>
              </a:solidFill>
            </a:rPr>
            <a:t>Loan Repaid</a:t>
          </a:r>
          <a:endParaRPr lang="en-C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538544</xdr:colOff>
      <xdr:row>0</xdr:row>
      <xdr:rowOff>0</xdr:rowOff>
    </xdr:from>
    <xdr:to>
      <xdr:col>8</xdr:col>
      <xdr:colOff>16076</xdr:colOff>
      <xdr:row>1</xdr:row>
      <xdr:rowOff>8038</xdr:rowOff>
    </xdr:to>
    <xdr:sp macro="" textlink="">
      <xdr:nvSpPr>
        <xdr:cNvPr id="8" name="Rectangle 12">
          <a:extLst>
            <a:ext uri="{FF2B5EF4-FFF2-40B4-BE49-F238E27FC236}">
              <a16:creationId xmlns:a16="http://schemas.microsoft.com/office/drawing/2014/main" id="{3206D1E9-0B38-48AC-BCF6-6DA396D98426}"/>
            </a:ext>
          </a:extLst>
        </xdr:cNvPr>
        <xdr:cNvSpPr/>
      </xdr:nvSpPr>
      <xdr:spPr>
        <a:xfrm>
          <a:off x="3054430" y="0"/>
          <a:ext cx="3826076" cy="19291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baseline="0">
              <a:solidFill>
                <a:sysClr val="windowText" lastClr="000000"/>
              </a:solidFill>
            </a:rPr>
            <a:t>Loan Taken</a:t>
          </a:r>
          <a:endParaRPr lang="en-C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522941</xdr:colOff>
      <xdr:row>13</xdr:row>
      <xdr:rowOff>70224</xdr:rowOff>
    </xdr:from>
    <xdr:to>
      <xdr:col>17</xdr:col>
      <xdr:colOff>112059</xdr:colOff>
      <xdr:row>28</xdr:row>
      <xdr:rowOff>11953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4FB081-6A14-A2CB-AFBB-C56C41449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195384</xdr:colOff>
      <xdr:row>0</xdr:row>
      <xdr:rowOff>73269</xdr:rowOff>
    </xdr:from>
    <xdr:to>
      <xdr:col>2</xdr:col>
      <xdr:colOff>175846</xdr:colOff>
      <xdr:row>1</xdr:row>
      <xdr:rowOff>171802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F18602D-1D19-44C3-AF58-695B302AC42E}"/>
            </a:ext>
          </a:extLst>
        </xdr:cNvPr>
        <xdr:cNvSpPr/>
      </xdr:nvSpPr>
      <xdr:spPr>
        <a:xfrm>
          <a:off x="195384" y="73269"/>
          <a:ext cx="1201616" cy="284148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/>
            <a:t>Tution</a:t>
          </a:r>
        </a:p>
      </xdr:txBody>
    </xdr:sp>
    <xdr:clientData/>
  </xdr:twoCellAnchor>
  <xdr:twoCellAnchor>
    <xdr:from>
      <xdr:col>0</xdr:col>
      <xdr:colOff>131885</xdr:colOff>
      <xdr:row>2</xdr:row>
      <xdr:rowOff>131883</xdr:rowOff>
    </xdr:from>
    <xdr:to>
      <xdr:col>2</xdr:col>
      <xdr:colOff>254166</xdr:colOff>
      <xdr:row>6</xdr:row>
      <xdr:rowOff>170961</xdr:rowOff>
    </xdr:to>
    <xdr:sp macro="[0]!Tuition_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FD9113F-56F6-4619-920C-334EC5A77003}"/>
            </a:ext>
          </a:extLst>
        </xdr:cNvPr>
        <xdr:cNvSpPr/>
      </xdr:nvSpPr>
      <xdr:spPr>
        <a:xfrm>
          <a:off x="131885" y="503114"/>
          <a:ext cx="1343435" cy="781539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Enter Tution</a:t>
          </a:r>
          <a:endParaRPr lang="en-CA" sz="1800" b="1"/>
        </a:p>
      </xdr:txBody>
    </xdr:sp>
    <xdr:clientData/>
  </xdr:twoCellAnchor>
  <xdr:twoCellAnchor>
    <xdr:from>
      <xdr:col>0</xdr:col>
      <xdr:colOff>123093</xdr:colOff>
      <xdr:row>7</xdr:row>
      <xdr:rowOff>93783</xdr:rowOff>
    </xdr:from>
    <xdr:to>
      <xdr:col>2</xdr:col>
      <xdr:colOff>245374</xdr:colOff>
      <xdr:row>11</xdr:row>
      <xdr:rowOff>132861</xdr:rowOff>
    </xdr:to>
    <xdr:sp macro="[0]!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F7BD07E-1FCE-408C-AE08-4FD8DFBC378A}"/>
            </a:ext>
          </a:extLst>
        </xdr:cNvPr>
        <xdr:cNvSpPr/>
      </xdr:nvSpPr>
      <xdr:spPr>
        <a:xfrm>
          <a:off x="123093" y="1393091"/>
          <a:ext cx="1343435" cy="781539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Enter</a:t>
          </a:r>
          <a:r>
            <a:rPr lang="en-CA" sz="1800" b="1" baseline="0"/>
            <a:t> </a:t>
          </a:r>
          <a:r>
            <a:rPr lang="en-CA" sz="1800" b="1"/>
            <a:t>Payments</a:t>
          </a:r>
        </a:p>
      </xdr:txBody>
    </xdr:sp>
    <xdr:clientData/>
  </xdr:twoCellAnchor>
  <xdr:twoCellAnchor editAs="oneCell">
    <xdr:from>
      <xdr:col>2</xdr:col>
      <xdr:colOff>312614</xdr:colOff>
      <xdr:row>0</xdr:row>
      <xdr:rowOff>0</xdr:rowOff>
    </xdr:from>
    <xdr:to>
      <xdr:col>3</xdr:col>
      <xdr:colOff>155607</xdr:colOff>
      <xdr:row>1</xdr:row>
      <xdr:rowOff>186928</xdr:rowOff>
    </xdr:to>
    <xdr:pic>
      <xdr:nvPicPr>
        <xdr:cNvPr id="9" name="Graphic 8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2006F9-26B7-44E0-AD95-6D2F17CD4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33768" y="0"/>
          <a:ext cx="453571" cy="453571"/>
        </a:xfrm>
        <a:prstGeom prst="rect">
          <a:avLst/>
        </a:prstGeom>
      </xdr:spPr>
    </xdr:pic>
    <xdr:clientData/>
  </xdr:twoCellAnchor>
  <xdr:twoCellAnchor>
    <xdr:from>
      <xdr:col>0</xdr:col>
      <xdr:colOff>331638</xdr:colOff>
      <xdr:row>16</xdr:row>
      <xdr:rowOff>42997</xdr:rowOff>
    </xdr:from>
    <xdr:to>
      <xdr:col>1</xdr:col>
      <xdr:colOff>1238642</xdr:colOff>
      <xdr:row>19</xdr:row>
      <xdr:rowOff>148950</xdr:rowOff>
    </xdr:to>
    <xdr:sp macro="[0]!Clear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490FED-E183-49AA-8345-4CED033A56D7}"/>
            </a:ext>
          </a:extLst>
        </xdr:cNvPr>
        <xdr:cNvSpPr/>
      </xdr:nvSpPr>
      <xdr:spPr>
        <a:xfrm>
          <a:off x="331638" y="3194478"/>
          <a:ext cx="1604720" cy="646879"/>
        </a:xfrm>
        <a:prstGeom prst="roundRect">
          <a:avLst>
            <a:gd name="adj" fmla="val 1555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 baseline="0"/>
            <a:t>Clear Entries </a:t>
          </a:r>
          <a:endParaRPr lang="en-CA" sz="1800" b="1"/>
        </a:p>
      </xdr:txBody>
    </xdr:sp>
    <xdr:clientData/>
  </xdr:twoCellAnchor>
  <xdr:twoCellAnchor>
    <xdr:from>
      <xdr:col>9</xdr:col>
      <xdr:colOff>9899</xdr:colOff>
      <xdr:row>11</xdr:row>
      <xdr:rowOff>14941</xdr:rowOff>
    </xdr:from>
    <xdr:to>
      <xdr:col>11</xdr:col>
      <xdr:colOff>297901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1EFC9C-C5F0-2024-CFA3-EB035C9D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547981</xdr:colOff>
      <xdr:row>11</xdr:row>
      <xdr:rowOff>23519</xdr:rowOff>
    </xdr:from>
    <xdr:to>
      <xdr:col>16</xdr:col>
      <xdr:colOff>23518</xdr:colOff>
      <xdr:row>26</xdr:row>
      <xdr:rowOff>15678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B48E03-E9F9-A923-599F-C97F2BF35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164306</xdr:colOff>
      <xdr:row>0</xdr:row>
      <xdr:rowOff>226219</xdr:rowOff>
    </xdr:from>
    <xdr:to>
      <xdr:col>3</xdr:col>
      <xdr:colOff>171450</xdr:colOff>
      <xdr:row>2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EB6BF75-AE95-4A67-A4E6-514A9DFD564C}"/>
            </a:ext>
          </a:extLst>
        </xdr:cNvPr>
        <xdr:cNvSpPr/>
      </xdr:nvSpPr>
      <xdr:spPr>
        <a:xfrm>
          <a:off x="164306" y="226219"/>
          <a:ext cx="1480344" cy="35163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/>
            <a:t>Savings</a:t>
          </a:r>
          <a:r>
            <a:rPr lang="en-CA" sz="1400" b="1" baseline="0"/>
            <a:t> Goals</a:t>
          </a:r>
          <a:endParaRPr lang="en-CA" sz="1400" b="1"/>
        </a:p>
      </xdr:txBody>
    </xdr:sp>
    <xdr:clientData/>
  </xdr:twoCellAnchor>
  <xdr:twoCellAnchor>
    <xdr:from>
      <xdr:col>0</xdr:col>
      <xdr:colOff>246063</xdr:colOff>
      <xdr:row>3</xdr:row>
      <xdr:rowOff>23813</xdr:rowOff>
    </xdr:from>
    <xdr:to>
      <xdr:col>3</xdr:col>
      <xdr:colOff>104913</xdr:colOff>
      <xdr:row>5</xdr:row>
      <xdr:rowOff>115094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DD9E0B5-CF5F-4E32-87BC-B12457716D11}"/>
            </a:ext>
          </a:extLst>
        </xdr:cNvPr>
        <xdr:cNvSpPr/>
      </xdr:nvSpPr>
      <xdr:spPr>
        <a:xfrm>
          <a:off x="246063" y="570465"/>
          <a:ext cx="1327633" cy="455716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New</a:t>
          </a:r>
          <a:r>
            <a:rPr lang="en-CA" sz="1800" b="1" baseline="0"/>
            <a:t> Goal</a:t>
          </a:r>
          <a:endParaRPr lang="en-CA" sz="1800" b="1"/>
        </a:p>
      </xdr:txBody>
    </xdr:sp>
    <xdr:clientData/>
  </xdr:twoCellAnchor>
  <xdr:twoCellAnchor>
    <xdr:from>
      <xdr:col>0</xdr:col>
      <xdr:colOff>199291</xdr:colOff>
      <xdr:row>6</xdr:row>
      <xdr:rowOff>69024</xdr:rowOff>
    </xdr:from>
    <xdr:to>
      <xdr:col>3</xdr:col>
      <xdr:colOff>179619</xdr:colOff>
      <xdr:row>10</xdr:row>
      <xdr:rowOff>88348</xdr:rowOff>
    </xdr:to>
    <xdr:sp macro="[0]!SavingsGoals_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781A28C-D029-43D9-B703-DA8AA22BA54B}"/>
            </a:ext>
          </a:extLst>
        </xdr:cNvPr>
        <xdr:cNvSpPr/>
      </xdr:nvSpPr>
      <xdr:spPr>
        <a:xfrm>
          <a:off x="199291" y="1189612"/>
          <a:ext cx="1459504" cy="766383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Contribute to Goals</a:t>
          </a:r>
        </a:p>
      </xdr:txBody>
    </xdr:sp>
    <xdr:clientData/>
  </xdr:twoCellAnchor>
  <xdr:twoCellAnchor editAs="oneCell">
    <xdr:from>
      <xdr:col>3</xdr:col>
      <xdr:colOff>426830</xdr:colOff>
      <xdr:row>0</xdr:row>
      <xdr:rowOff>48039</xdr:rowOff>
    </xdr:from>
    <xdr:to>
      <xdr:col>4</xdr:col>
      <xdr:colOff>273009</xdr:colOff>
      <xdr:row>2</xdr:row>
      <xdr:rowOff>10175</xdr:rowOff>
    </xdr:to>
    <xdr:pic>
      <xdr:nvPicPr>
        <xdr:cNvPr id="7" name="Graphic 6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C733C9-FD8C-4B88-85A6-A45C2FCD2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00030" y="48039"/>
          <a:ext cx="455779" cy="463786"/>
        </a:xfrm>
        <a:prstGeom prst="rect">
          <a:avLst/>
        </a:prstGeom>
      </xdr:spPr>
    </xdr:pic>
    <xdr:clientData/>
  </xdr:twoCellAnchor>
  <xdr:twoCellAnchor>
    <xdr:from>
      <xdr:col>0</xdr:col>
      <xdr:colOff>252343</xdr:colOff>
      <xdr:row>11</xdr:row>
      <xdr:rowOff>132522</xdr:rowOff>
    </xdr:from>
    <xdr:to>
      <xdr:col>3</xdr:col>
      <xdr:colOff>182217</xdr:colOff>
      <xdr:row>13</xdr:row>
      <xdr:rowOff>127000</xdr:rowOff>
    </xdr:to>
    <xdr:sp macro="[0]!SavingsGoals_RectangleRoundedCorners5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4F1511A-02D4-E35D-8AC7-60E4E8E824BF}"/>
            </a:ext>
          </a:extLst>
        </xdr:cNvPr>
        <xdr:cNvSpPr/>
      </xdr:nvSpPr>
      <xdr:spPr>
        <a:xfrm>
          <a:off x="252343" y="2136913"/>
          <a:ext cx="1398657" cy="358913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  <a:r>
            <a:rPr lang="en-CA" sz="1600" b="1" baseline="0"/>
            <a:t> Entries</a:t>
          </a:r>
          <a:endParaRPr lang="en-CA" sz="1600" b="1"/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14941</xdr:colOff>
      <xdr:row>1</xdr:row>
      <xdr:rowOff>7470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22C74C9-45A1-44F0-93FD-25EB3AC21260}"/>
            </a:ext>
          </a:extLst>
        </xdr:cNvPr>
        <xdr:cNvSpPr/>
      </xdr:nvSpPr>
      <xdr:spPr>
        <a:xfrm>
          <a:off x="2704353" y="0"/>
          <a:ext cx="1411941" cy="19423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baseline="0">
              <a:solidFill>
                <a:sysClr val="windowText" lastClr="000000"/>
              </a:solidFill>
            </a:rPr>
            <a:t>Goals Set</a:t>
          </a:r>
          <a:endParaRPr lang="en-C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14942</xdr:colOff>
      <xdr:row>0</xdr:row>
      <xdr:rowOff>0</xdr:rowOff>
    </xdr:from>
    <xdr:to>
      <xdr:col>11</xdr:col>
      <xdr:colOff>7470</xdr:colOff>
      <xdr:row>1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958AB90-8A6C-4E62-A2C7-7240D341E04D}"/>
            </a:ext>
          </a:extLst>
        </xdr:cNvPr>
        <xdr:cNvSpPr/>
      </xdr:nvSpPr>
      <xdr:spPr>
        <a:xfrm>
          <a:off x="4834592" y="0"/>
          <a:ext cx="2716678" cy="2667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baseline="0">
              <a:solidFill>
                <a:sysClr val="windowText" lastClr="000000"/>
              </a:solidFill>
            </a:rPr>
            <a:t>Contribution to Goals</a:t>
          </a:r>
          <a:endParaRPr lang="en-CA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47625</xdr:colOff>
      <xdr:row>7</xdr:row>
      <xdr:rowOff>82550</xdr:rowOff>
    </xdr:from>
    <xdr:to>
      <xdr:col>15</xdr:col>
      <xdr:colOff>565150</xdr:colOff>
      <xdr:row>22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4690F6-6EEE-19C8-0E85-A040876E7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589067</xdr:colOff>
      <xdr:row>0</xdr:row>
      <xdr:rowOff>139601</xdr:rowOff>
    </xdr:from>
    <xdr:to>
      <xdr:col>4</xdr:col>
      <xdr:colOff>555319</xdr:colOff>
      <xdr:row>2</xdr:row>
      <xdr:rowOff>117842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E17108A-AC01-496E-86F6-632782374D1C}"/>
            </a:ext>
          </a:extLst>
        </xdr:cNvPr>
        <xdr:cNvSpPr/>
      </xdr:nvSpPr>
      <xdr:spPr>
        <a:xfrm>
          <a:off x="1200255" y="139601"/>
          <a:ext cx="1799814" cy="343366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MyAdvice</a:t>
          </a:r>
          <a:endParaRPr lang="en-CA" sz="1400" b="1"/>
        </a:p>
      </xdr:txBody>
    </xdr:sp>
    <xdr:clientData/>
  </xdr:twoCellAnchor>
  <xdr:twoCellAnchor>
    <xdr:from>
      <xdr:col>1</xdr:col>
      <xdr:colOff>218892</xdr:colOff>
      <xdr:row>4</xdr:row>
      <xdr:rowOff>69911</xdr:rowOff>
    </xdr:from>
    <xdr:to>
      <xdr:col>5</xdr:col>
      <xdr:colOff>385579</xdr:colOff>
      <xdr:row>13</xdr:row>
      <xdr:rowOff>94332</xdr:rowOff>
    </xdr:to>
    <xdr:sp macro="[0]!Budget_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667ACA8-F53D-4899-84BB-00C265BDA25D}"/>
            </a:ext>
          </a:extLst>
        </xdr:cNvPr>
        <xdr:cNvSpPr/>
      </xdr:nvSpPr>
      <xdr:spPr>
        <a:xfrm>
          <a:off x="830080" y="800161"/>
          <a:ext cx="2611437" cy="1667484"/>
        </a:xfrm>
        <a:prstGeom prst="roundRect">
          <a:avLst/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/>
            <a:t>Click</a:t>
          </a:r>
          <a:r>
            <a:rPr lang="en-CA" sz="2000" b="1" baseline="0"/>
            <a:t> here for some financial advice!</a:t>
          </a:r>
          <a:endParaRPr lang="en-CA" sz="2000" b="1"/>
        </a:p>
      </xdr:txBody>
    </xdr:sp>
    <xdr:clientData/>
  </xdr:twoCellAnchor>
  <xdr:twoCellAnchor editAs="oneCell">
    <xdr:from>
      <xdr:col>0</xdr:col>
      <xdr:colOff>136769</xdr:colOff>
      <xdr:row>0</xdr:row>
      <xdr:rowOff>63500</xdr:rowOff>
    </xdr:from>
    <xdr:to>
      <xdr:col>0</xdr:col>
      <xdr:colOff>590340</xdr:colOff>
      <xdr:row>2</xdr:row>
      <xdr:rowOff>145840</xdr:rowOff>
    </xdr:to>
    <xdr:pic>
      <xdr:nvPicPr>
        <xdr:cNvPr id="7" name="Graphic 6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0973C9-6F95-4C9B-A354-85C5611C8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769" y="63500"/>
          <a:ext cx="453571" cy="4535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ksha Sharma" refreshedDate="45263.960112615743" createdVersion="3" refreshedVersion="8" minRefreshableVersion="3" recordCount="6" xr:uid="{A98D62C4-E5DB-42E8-9EB6-7A3DC1325E44}">
  <cacheSource type="worksheet">
    <worksheetSource ref="F1:K7" sheet="Tuition"/>
  </cacheSource>
  <cacheFields count="6">
    <cacheField name="Year of University" numFmtId="0">
      <sharedItems containsSemiMixedTypes="0" containsString="0" containsNumber="1" containsInteger="1" minValue="1" maxValue="1"/>
    </cacheField>
    <cacheField name="Tuition Due" numFmtId="0">
      <sharedItems containsString="0" containsBlank="1" containsNumber="1" containsInteger="1" minValue="31000" maxValue="31000"/>
    </cacheField>
    <cacheField name="Amount Contributed ($CAD)" numFmtId="7">
      <sharedItems containsString="0" containsBlank="1" containsNumber="1" containsInteger="1" minValue="500" maxValue="9000"/>
    </cacheField>
    <cacheField name="Method of Payment" numFmtId="0">
      <sharedItems containsBlank="1" count="5">
        <m/>
        <s v="RESP"/>
        <s v="OSAP"/>
        <s v="Scholarships"/>
        <s v="Personal Funds"/>
      </sharedItems>
    </cacheField>
    <cacheField name="Methods of Payment" numFmtId="0">
      <sharedItems containsBlank="1"/>
    </cacheField>
    <cacheField name="Sum of Amount Contributed ($CAD)" numFmtId="0">
      <sharedItems containsString="0" containsBlank="1" containsNumber="1" containsInteger="1" minValue="1500" maxValue="17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ksha Sharma" refreshedDate="45264.031178819445" createdVersion="3" refreshedVersion="8" minRefreshableVersion="3" recordCount="6" xr:uid="{A0DB938B-2A2E-4FE2-B80D-ABB37F3171CF}">
  <cacheSource type="worksheet">
    <worksheetSource ref="F1:H7" sheet="Income"/>
  </cacheSource>
  <cacheFields count="3">
    <cacheField name="Amount" numFmtId="7">
      <sharedItems containsSemiMixedTypes="0" containsString="0" containsNumber="1" containsInteger="1" minValue="20" maxValue="1600"/>
    </cacheField>
    <cacheField name="Source" numFmtId="0">
      <sharedItems count="4">
        <s v="Ajax"/>
        <s v="Mom"/>
        <s v="Dad"/>
        <s v="Aunt"/>
      </sharedItems>
    </cacheField>
    <cacheField name="Date" numFmtId="164">
      <sharedItems containsSemiMixedTypes="0" containsNonDate="0" containsDate="1" containsString="0" minDate="2023-04-02T00:00:00" maxDate="2023-12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ksha Sharma" refreshedDate="45264.031455787037" createdVersion="3" refreshedVersion="8" minRefreshableVersion="3" recordCount="6" xr:uid="{3A9BCB44-DD5B-4660-99E7-BB7BF7F0D7DA}">
  <cacheSource type="worksheet">
    <worksheetSource ref="F1:J7" sheet="Expense"/>
  </cacheSource>
  <cacheFields count="5">
    <cacheField name="Item Type" numFmtId="0">
      <sharedItems count="5">
        <s v="Transportation"/>
        <s v="Personal Care"/>
        <s v="Entertainment"/>
        <s v="Apparel "/>
        <s v="Food"/>
      </sharedItems>
    </cacheField>
    <cacheField name="Price ($CAD)" numFmtId="7">
      <sharedItems containsSemiMixedTypes="0" containsString="0" containsNumber="1" minValue="2.5" maxValue="80"/>
    </cacheField>
    <cacheField name="Date (YYYY/MM/DD)" numFmtId="14">
      <sharedItems containsSemiMixedTypes="0" containsNonDate="0" containsDate="1" containsString="0" minDate="2023-03-12T00:00:00" maxDate="2023-12-04T00:00:00"/>
    </cacheField>
    <cacheField name="Source" numFmtId="0">
      <sharedItems/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n v="31000"/>
    <m/>
    <x v="0"/>
    <s v="OSAP"/>
    <n v="5000"/>
  </r>
  <r>
    <n v="1"/>
    <m/>
    <n v="9000"/>
    <x v="1"/>
    <s v="Personal Funds"/>
    <n v="1500"/>
  </r>
  <r>
    <n v="1"/>
    <m/>
    <n v="5000"/>
    <x v="2"/>
    <s v="RESP"/>
    <n v="9000"/>
  </r>
  <r>
    <n v="1"/>
    <m/>
    <n v="2000"/>
    <x v="3"/>
    <s v="Scholarships"/>
    <n v="2000"/>
  </r>
  <r>
    <n v="1"/>
    <m/>
    <n v="1000"/>
    <x v="4"/>
    <s v="Grand Total"/>
    <n v="17500"/>
  </r>
  <r>
    <n v="1"/>
    <m/>
    <n v="500"/>
    <x v="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600"/>
    <x v="0"/>
    <d v="2023-06-07T00:00:00"/>
  </r>
  <r>
    <n v="800"/>
    <x v="0"/>
    <d v="2023-07-08T00:00:00"/>
  </r>
  <r>
    <n v="500"/>
    <x v="1"/>
    <d v="2023-08-24T00:00:00"/>
  </r>
  <r>
    <n v="300"/>
    <x v="2"/>
    <d v="2023-04-02T00:00:00"/>
  </r>
  <r>
    <n v="20"/>
    <x v="3"/>
    <d v="2023-11-03T00:00:00"/>
  </r>
  <r>
    <n v="400"/>
    <x v="1"/>
    <d v="2023-12-03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2.5"/>
    <d v="2023-04-05T00:00:00"/>
    <s v="ION"/>
    <s v="went to conestoga"/>
  </r>
  <r>
    <x v="1"/>
    <n v="12"/>
    <d v="2023-03-12T00:00:00"/>
    <s v="Walmart"/>
    <m/>
  </r>
  <r>
    <x v="2"/>
    <n v="6"/>
    <d v="2023-10-31T00:00:00"/>
    <s v="Amazon Prime"/>
    <s v="Watched a movie for halloween"/>
  </r>
  <r>
    <x v="3"/>
    <n v="12"/>
    <d v="2023-08-12T00:00:00"/>
    <s v="Walmart"/>
    <s v="socks"/>
  </r>
  <r>
    <x v="4"/>
    <n v="23"/>
    <d v="2023-08-23T00:00:00"/>
    <s v="Makimono"/>
    <s v="went out to eat sushi"/>
  </r>
  <r>
    <x v="2"/>
    <n v="80"/>
    <d v="2023-12-03T00:00:00"/>
    <s v="EB Games"/>
    <s v="mariokar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6D2C6-3E6D-4CE8-8047-AD458CB77D85}" name="PivotTable1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4" rowHeaderCaption="Sources of Income">
  <location ref="J1:K6" firstHeaderRow="1" firstDataRow="1" firstDataCol="1"/>
  <pivotFields count="3">
    <pivotField dataField="1" numFmtId="7" showAll="0"/>
    <pivotField axis="axisRow" showAll="0">
      <items count="5">
        <item x="0"/>
        <item x="1"/>
        <item x="2"/>
        <item x="3"/>
        <item t="default"/>
      </items>
    </pivotField>
    <pivotField numFmtId="164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" fld="0" baseField="0" baseItem="0"/>
  </dataFields>
  <formats count="1">
    <format dxfId="8">
      <pivotArea grandRow="1"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7E2D1-43F6-470B-8694-32BDA2BF9E07}" name="PivotTable2" cacheId="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8" rowHeaderCaption="Type of Expense">
  <location ref="L1:M7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7" showAll="0"/>
    <pivotField numFmtId="14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rice ($CAD)" fld="1" baseField="0" baseItem="0"/>
  </dataFields>
  <formats count="7">
    <format dxfId="7">
      <pivotArea grandRow="1"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E81BB4-029E-4274-A9EC-EFA6BC0B3D0A}" name="PivotTable3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9" rowHeaderCaption="Methods of Payment">
  <location ref="J1:K6" firstHeaderRow="1" firstDataRow="1" firstDataCol="1"/>
  <pivotFields count="6">
    <pivotField showAll="0"/>
    <pivotField showAll="0"/>
    <pivotField dataField="1" showAll="0"/>
    <pivotField axis="axisRow" showAll="0">
      <items count="6">
        <item x="2"/>
        <item x="4"/>
        <item x="1"/>
        <item x="3"/>
        <item h="1" x="0"/>
        <item t="default"/>
      </items>
    </pivotField>
    <pivotField showAll="0"/>
    <pivotField name="Sum of Amount Contributed ($CAD)2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 Contributed ($CAD)" fld="2" baseField="0" baseItem="0"/>
  </dataFields>
  <formats count="1">
    <format dxfId="0">
      <pivotArea grandRow="1"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130E-74A8-442F-8FAF-45A6926F2863}">
  <sheetPr codeName="Sheet1"/>
  <dimension ref="A1:AN90"/>
  <sheetViews>
    <sheetView zoomScale="85" zoomScaleNormal="85" workbookViewId="0">
      <selection activeCell="A2" sqref="A2"/>
    </sheetView>
  </sheetViews>
  <sheetFormatPr defaultRowHeight="14.5" x14ac:dyDescent="0.35"/>
  <cols>
    <col min="8" max="9" width="22.90625" bestFit="1" customWidth="1"/>
    <col min="10" max="10" width="10.90625" customWidth="1"/>
    <col min="11" max="11" width="20.08984375" customWidth="1"/>
    <col min="12" max="12" width="16.54296875" customWidth="1"/>
    <col min="14" max="14" width="22.6328125" customWidth="1"/>
    <col min="15" max="15" width="18.26953125" customWidth="1"/>
  </cols>
  <sheetData>
    <row r="1" spans="1:40" x14ac:dyDescent="0.35">
      <c r="A1" s="1"/>
      <c r="B1" s="1"/>
      <c r="C1" s="1"/>
      <c r="D1" s="1"/>
      <c r="E1" s="1"/>
      <c r="F1" s="1"/>
      <c r="G1" s="122"/>
      <c r="H1" s="114"/>
      <c r="I1" s="115"/>
      <c r="J1" s="115"/>
      <c r="K1" s="115"/>
      <c r="L1" s="115"/>
      <c r="M1" s="115"/>
      <c r="N1" s="115"/>
      <c r="O1" s="115"/>
      <c r="P1" s="115"/>
      <c r="Q1" s="116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x14ac:dyDescent="0.35">
      <c r="A2" s="1"/>
      <c r="B2" s="1"/>
      <c r="C2" s="1"/>
      <c r="D2" s="1"/>
      <c r="E2" s="1"/>
      <c r="F2" s="1"/>
      <c r="G2" s="1"/>
      <c r="H2" s="117"/>
      <c r="I2" s="90"/>
      <c r="J2" s="90"/>
      <c r="K2" s="90"/>
      <c r="L2" s="90"/>
      <c r="M2" s="90"/>
      <c r="N2" s="90"/>
      <c r="O2" s="90"/>
      <c r="P2" s="90"/>
      <c r="Q2" s="118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35">
      <c r="A3" s="1"/>
      <c r="B3" s="1"/>
      <c r="C3" s="1"/>
      <c r="D3" s="1"/>
      <c r="E3" s="1"/>
      <c r="F3" s="1"/>
      <c r="G3" s="1"/>
      <c r="H3" s="117"/>
      <c r="I3" s="90"/>
      <c r="J3" s="90"/>
      <c r="K3" s="90"/>
      <c r="L3" s="90"/>
      <c r="M3" s="90"/>
      <c r="N3" s="90"/>
      <c r="O3" s="90"/>
      <c r="P3" s="90"/>
      <c r="Q3" s="118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x14ac:dyDescent="0.35">
      <c r="A4" s="1"/>
      <c r="B4" s="1"/>
      <c r="C4" s="1"/>
      <c r="D4" s="1"/>
      <c r="E4" s="1"/>
      <c r="F4" s="1"/>
      <c r="G4" s="1"/>
      <c r="H4" s="117"/>
      <c r="I4" s="90"/>
      <c r="J4" s="90"/>
      <c r="K4" s="90"/>
      <c r="L4" s="90"/>
      <c r="M4" s="90"/>
      <c r="N4" s="90"/>
      <c r="O4" s="90"/>
      <c r="P4" s="90"/>
      <c r="Q4" s="118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x14ac:dyDescent="0.35">
      <c r="A5" s="1"/>
      <c r="B5" s="1"/>
      <c r="C5" s="1"/>
      <c r="D5" s="1"/>
      <c r="E5" s="1"/>
      <c r="F5" s="1"/>
      <c r="G5" s="1"/>
      <c r="H5" s="117"/>
      <c r="I5" s="90"/>
      <c r="J5" s="90"/>
      <c r="K5" s="90"/>
      <c r="L5" s="90"/>
      <c r="M5" s="90"/>
      <c r="N5" s="90"/>
      <c r="O5" s="90"/>
      <c r="P5" s="90"/>
      <c r="Q5" s="118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x14ac:dyDescent="0.35">
      <c r="A6" s="1"/>
      <c r="B6" s="1"/>
      <c r="C6" s="1"/>
      <c r="D6" s="1"/>
      <c r="E6" s="1"/>
      <c r="F6" s="1"/>
      <c r="G6" s="1"/>
      <c r="H6" s="117"/>
      <c r="I6" s="90"/>
      <c r="J6" s="90"/>
      <c r="K6" s="90"/>
      <c r="L6" s="90"/>
      <c r="M6" s="90"/>
      <c r="N6" s="90"/>
      <c r="O6" s="90"/>
      <c r="P6" s="90"/>
      <c r="Q6" s="118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x14ac:dyDescent="0.35">
      <c r="A7" s="1"/>
      <c r="B7" s="1"/>
      <c r="C7" s="1"/>
      <c r="D7" s="1"/>
      <c r="E7" s="1"/>
      <c r="F7" s="1"/>
      <c r="G7" s="1"/>
      <c r="H7" s="117"/>
      <c r="I7" s="90"/>
      <c r="J7" s="90"/>
      <c r="K7" s="90"/>
      <c r="L7" s="90"/>
      <c r="M7" s="90"/>
      <c r="N7" s="90"/>
      <c r="O7" s="90"/>
      <c r="P7" s="90"/>
      <c r="Q7" s="118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ht="15" thickBot="1" x14ac:dyDescent="0.4">
      <c r="A8" s="1"/>
      <c r="B8" s="1"/>
      <c r="C8" s="1"/>
      <c r="D8" s="1"/>
      <c r="E8" s="1"/>
      <c r="F8" s="1"/>
      <c r="G8" s="1"/>
      <c r="H8" s="117"/>
      <c r="I8" s="90"/>
      <c r="J8" s="90"/>
      <c r="K8" s="90"/>
      <c r="L8" s="90"/>
      <c r="M8" s="90"/>
      <c r="N8" s="90"/>
      <c r="O8" s="90"/>
      <c r="P8" s="90"/>
      <c r="Q8" s="118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21" x14ac:dyDescent="0.5">
      <c r="A9" s="1"/>
      <c r="B9" s="1"/>
      <c r="C9" s="1"/>
      <c r="D9" s="1"/>
      <c r="E9" s="1"/>
      <c r="F9" s="1"/>
      <c r="G9" s="1"/>
      <c r="H9" s="117"/>
      <c r="I9" s="100" t="s">
        <v>71</v>
      </c>
      <c r="J9" s="101"/>
      <c r="K9" s="90"/>
      <c r="L9" s="90"/>
      <c r="M9" s="102" t="s">
        <v>49</v>
      </c>
      <c r="N9" s="103"/>
      <c r="O9" s="104"/>
      <c r="P9" s="90"/>
      <c r="Q9" s="118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ht="18.5" x14ac:dyDescent="0.45">
      <c r="A10" s="1"/>
      <c r="B10" s="1"/>
      <c r="C10" s="1"/>
      <c r="D10" s="1"/>
      <c r="E10" s="1"/>
      <c r="F10" s="1"/>
      <c r="G10" s="1"/>
      <c r="H10" s="117"/>
      <c r="I10" s="91" t="s">
        <v>45</v>
      </c>
      <c r="J10" s="108">
        <f>Income!N17</f>
        <v>3620</v>
      </c>
      <c r="K10" s="90"/>
      <c r="L10" s="90"/>
      <c r="M10" s="95" t="s">
        <v>50</v>
      </c>
      <c r="N10" s="93"/>
      <c r="O10" s="110">
        <f>Loan!P6</f>
        <v>14100</v>
      </c>
      <c r="P10" s="90"/>
      <c r="Q10" s="118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ht="18.5" x14ac:dyDescent="0.45">
      <c r="A11" s="1"/>
      <c r="B11" s="1"/>
      <c r="C11" s="1"/>
      <c r="D11" s="1"/>
      <c r="E11" s="1"/>
      <c r="F11" s="1"/>
      <c r="G11" s="1"/>
      <c r="H11" s="117"/>
      <c r="I11" s="91" t="s">
        <v>46</v>
      </c>
      <c r="J11" s="108">
        <f>Expense!P3</f>
        <v>135.5</v>
      </c>
      <c r="K11" s="90"/>
      <c r="L11" s="90"/>
      <c r="M11" s="95" t="s">
        <v>51</v>
      </c>
      <c r="N11" s="93"/>
      <c r="O11" s="110">
        <f>Loan!P8</f>
        <v>5050</v>
      </c>
      <c r="P11" s="90"/>
      <c r="Q11" s="118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ht="19" thickBot="1" x14ac:dyDescent="0.5">
      <c r="A12" s="1"/>
      <c r="B12" s="1"/>
      <c r="C12" s="1"/>
      <c r="D12" s="1"/>
      <c r="E12" s="1"/>
      <c r="F12" s="1"/>
      <c r="G12" s="1"/>
      <c r="H12" s="117"/>
      <c r="I12" s="92" t="s">
        <v>72</v>
      </c>
      <c r="J12" s="108">
        <f>J10-J11</f>
        <v>3484.5</v>
      </c>
      <c r="K12" s="90"/>
      <c r="L12" s="90"/>
      <c r="M12" s="95" t="s">
        <v>52</v>
      </c>
      <c r="N12" s="93"/>
      <c r="O12" s="110">
        <f>Loan!P10</f>
        <v>9050</v>
      </c>
      <c r="P12" s="90"/>
      <c r="Q12" s="118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 ht="19" thickBot="1" x14ac:dyDescent="0.5">
      <c r="A13" s="1"/>
      <c r="B13" s="1"/>
      <c r="C13" s="1"/>
      <c r="D13" s="1"/>
      <c r="E13" s="1"/>
      <c r="F13" s="1"/>
      <c r="G13" s="1"/>
      <c r="H13" s="117"/>
      <c r="I13" s="90"/>
      <c r="J13" s="90"/>
      <c r="K13" s="90"/>
      <c r="L13" s="90"/>
      <c r="M13" s="96" t="s">
        <v>55</v>
      </c>
      <c r="N13" s="94"/>
      <c r="O13" s="111">
        <f>Loan!P12</f>
        <v>0.35815602836879434</v>
      </c>
      <c r="P13" s="90"/>
      <c r="Q13" s="118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40" ht="15" thickBot="1" x14ac:dyDescent="0.4">
      <c r="A14" s="1"/>
      <c r="B14" s="1"/>
      <c r="C14" s="1"/>
      <c r="D14" s="1"/>
      <c r="E14" s="1"/>
      <c r="F14" s="1"/>
      <c r="G14" s="1"/>
      <c r="H14" s="117"/>
      <c r="I14" s="90"/>
      <c r="J14" s="90"/>
      <c r="K14" s="90"/>
      <c r="L14" s="90"/>
      <c r="M14" s="90"/>
      <c r="N14" s="90"/>
      <c r="O14" s="90"/>
      <c r="P14" s="90"/>
      <c r="Q14" s="118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40" ht="21" x14ac:dyDescent="0.5">
      <c r="A15" s="1"/>
      <c r="B15" s="1"/>
      <c r="C15" s="1"/>
      <c r="D15" s="1"/>
      <c r="E15" s="1"/>
      <c r="F15" s="1"/>
      <c r="G15" s="1"/>
      <c r="H15" s="117"/>
      <c r="I15" s="102" t="s">
        <v>59</v>
      </c>
      <c r="J15" s="103"/>
      <c r="K15" s="104"/>
      <c r="L15" s="90"/>
      <c r="M15" s="105" t="s">
        <v>63</v>
      </c>
      <c r="N15" s="106"/>
      <c r="O15" s="107"/>
      <c r="P15" s="90"/>
      <c r="Q15" s="118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40" ht="18.5" x14ac:dyDescent="0.45">
      <c r="A16" s="1"/>
      <c r="B16" s="1"/>
      <c r="C16" s="1"/>
      <c r="D16" s="1"/>
      <c r="E16" s="1"/>
      <c r="F16" s="1"/>
      <c r="G16" s="1"/>
      <c r="H16" s="117"/>
      <c r="I16" s="91" t="s">
        <v>62</v>
      </c>
      <c r="J16" s="93"/>
      <c r="K16" s="109">
        <f>Tuition!O2</f>
        <v>31000</v>
      </c>
      <c r="L16" s="90"/>
      <c r="M16" s="97" t="s">
        <v>64</v>
      </c>
      <c r="N16" s="93"/>
      <c r="O16" s="112">
        <f>'Savings Goals'!O2</f>
        <v>82000</v>
      </c>
      <c r="P16" s="90"/>
      <c r="Q16" s="118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ht="18.5" x14ac:dyDescent="0.45">
      <c r="A17" s="1"/>
      <c r="B17" s="1"/>
      <c r="C17" s="1"/>
      <c r="D17" s="1"/>
      <c r="E17" s="1"/>
      <c r="F17" s="1"/>
      <c r="G17" s="1"/>
      <c r="H17" s="117"/>
      <c r="I17" s="91" t="s">
        <v>60</v>
      </c>
      <c r="J17" s="93"/>
      <c r="K17" s="109">
        <f>Tuition!O3</f>
        <v>17500</v>
      </c>
      <c r="L17" s="90"/>
      <c r="M17" s="97" t="s">
        <v>65</v>
      </c>
      <c r="N17" s="93"/>
      <c r="O17" s="112">
        <f>'Savings Goals'!O3</f>
        <v>5100</v>
      </c>
      <c r="P17" s="90"/>
      <c r="Q17" s="118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ht="18.5" x14ac:dyDescent="0.45">
      <c r="A18" s="1"/>
      <c r="B18" s="1"/>
      <c r="C18" s="1"/>
      <c r="D18" s="1"/>
      <c r="E18" s="1"/>
      <c r="F18" s="1"/>
      <c r="G18" s="1"/>
      <c r="H18" s="117"/>
      <c r="I18" s="91" t="s">
        <v>66</v>
      </c>
      <c r="J18" s="93"/>
      <c r="K18" s="109">
        <f>Tuition!O4</f>
        <v>13500</v>
      </c>
      <c r="L18" s="90"/>
      <c r="M18" s="97" t="s">
        <v>67</v>
      </c>
      <c r="N18" s="93"/>
      <c r="O18" s="112">
        <f>'Savings Goals'!O4</f>
        <v>76900</v>
      </c>
      <c r="P18" s="90"/>
      <c r="Q18" s="118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ht="16" thickBot="1" x14ac:dyDescent="0.4">
      <c r="A19" s="1"/>
      <c r="B19" s="1"/>
      <c r="C19" s="1"/>
      <c r="D19" s="1"/>
      <c r="E19" s="1"/>
      <c r="F19" s="1"/>
      <c r="G19" s="1"/>
      <c r="H19" s="117"/>
      <c r="I19" s="92" t="s">
        <v>61</v>
      </c>
      <c r="J19" s="94"/>
      <c r="K19" s="123">
        <f>Tuition!O5</f>
        <v>0.56451612903225812</v>
      </c>
      <c r="L19" s="90"/>
      <c r="M19" s="98" t="s">
        <v>68</v>
      </c>
      <c r="N19" s="99"/>
      <c r="O19" s="113">
        <f>'Savings Goals'!O5</f>
        <v>6.2195121951219512E-2</v>
      </c>
      <c r="P19" s="90"/>
      <c r="Q19" s="118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5">
      <c r="A20" s="1"/>
      <c r="B20" s="1"/>
      <c r="C20" s="1"/>
      <c r="D20" s="1"/>
      <c r="E20" s="1"/>
      <c r="F20" s="1"/>
      <c r="G20" s="1"/>
      <c r="H20" s="117"/>
      <c r="I20" s="90"/>
      <c r="J20" s="90"/>
      <c r="K20" s="90"/>
      <c r="L20" s="90"/>
      <c r="M20" s="90"/>
      <c r="N20" s="90"/>
      <c r="O20" s="90"/>
      <c r="P20" s="90"/>
      <c r="Q20" s="118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5">
      <c r="A21" s="1"/>
      <c r="B21" s="1"/>
      <c r="C21" s="1"/>
      <c r="D21" s="1"/>
      <c r="E21" s="1"/>
      <c r="F21" s="1"/>
      <c r="G21" s="1"/>
      <c r="H21" s="117"/>
      <c r="I21" s="90"/>
      <c r="J21" s="90"/>
      <c r="K21" s="90"/>
      <c r="L21" s="90"/>
      <c r="M21" s="90"/>
      <c r="N21" s="90"/>
      <c r="O21" s="90"/>
      <c r="P21" s="90"/>
      <c r="Q21" s="118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5">
      <c r="A22" s="1"/>
      <c r="B22" s="1"/>
      <c r="C22" s="1"/>
      <c r="D22" s="1"/>
      <c r="E22" s="1"/>
      <c r="F22" s="1"/>
      <c r="G22" s="1"/>
      <c r="H22" s="117"/>
      <c r="I22" s="90"/>
      <c r="J22" s="90"/>
      <c r="K22" s="90"/>
      <c r="L22" s="90"/>
      <c r="M22" s="90"/>
      <c r="N22" s="90"/>
      <c r="O22" s="90"/>
      <c r="P22" s="90"/>
      <c r="Q22" s="118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5">
      <c r="A23" s="1"/>
      <c r="B23" s="1"/>
      <c r="C23" s="1"/>
      <c r="D23" s="1"/>
      <c r="E23" s="1"/>
      <c r="F23" s="1"/>
      <c r="G23" s="1"/>
      <c r="H23" s="117"/>
      <c r="I23" s="90"/>
      <c r="J23" s="90"/>
      <c r="K23" s="90"/>
      <c r="L23" s="90"/>
      <c r="M23" s="90"/>
      <c r="N23" s="90"/>
      <c r="O23" s="90"/>
      <c r="P23" s="90"/>
      <c r="Q23" s="118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5">
      <c r="A24" s="1"/>
      <c r="B24" s="1"/>
      <c r="C24" s="1"/>
      <c r="D24" s="1"/>
      <c r="E24" s="1"/>
      <c r="F24" s="1"/>
      <c r="G24" s="1"/>
      <c r="H24" s="117"/>
      <c r="I24" s="90"/>
      <c r="J24" s="90"/>
      <c r="K24" s="90"/>
      <c r="L24" s="90"/>
      <c r="M24" s="90"/>
      <c r="N24" s="90"/>
      <c r="O24" s="90"/>
      <c r="P24" s="90"/>
      <c r="Q24" s="118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ht="15" thickBot="1" x14ac:dyDescent="0.4">
      <c r="A25" s="1"/>
      <c r="B25" s="1"/>
      <c r="C25" s="1"/>
      <c r="D25" s="1"/>
      <c r="E25" s="1"/>
      <c r="F25" s="1"/>
      <c r="G25" s="1"/>
      <c r="H25" s="119"/>
      <c r="I25" s="120"/>
      <c r="J25" s="120"/>
      <c r="K25" s="120"/>
      <c r="L25" s="120"/>
      <c r="M25" s="120"/>
      <c r="N25" s="120"/>
      <c r="O25" s="120"/>
      <c r="P25" s="120"/>
      <c r="Q25" s="12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spans="1:40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spans="1:40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spans="1:40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spans="1:40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spans="1:40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spans="1:40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</row>
    <row r="50" spans="1:40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</row>
    <row r="51" spans="1:40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</row>
    <row r="52" spans="1:40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</row>
    <row r="53" spans="1:40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</row>
    <row r="54" spans="1:40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</row>
    <row r="55" spans="1:40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</row>
    <row r="56" spans="1:40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</row>
    <row r="57" spans="1:40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</row>
    <row r="58" spans="1:40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</row>
    <row r="59" spans="1:40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</row>
    <row r="60" spans="1:40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</row>
    <row r="61" spans="1:40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</row>
    <row r="62" spans="1:40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</row>
    <row r="63" spans="1:40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</row>
    <row r="64" spans="1:40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</row>
    <row r="65" spans="1:40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40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</row>
    <row r="67" spans="1:40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</row>
    <row r="68" spans="1:40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</row>
    <row r="69" spans="1:40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</row>
    <row r="70" spans="1:40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</row>
    <row r="71" spans="1:40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</row>
    <row r="72" spans="1:40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</row>
    <row r="73" spans="1:40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</row>
    <row r="74" spans="1:40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</row>
    <row r="75" spans="1:40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</row>
    <row r="76" spans="1:40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</row>
    <row r="77" spans="1:40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</row>
    <row r="78" spans="1:40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</row>
    <row r="79" spans="1:40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</row>
    <row r="80" spans="1:40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</row>
    <row r="81" spans="1:40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</row>
    <row r="82" spans="1:40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</row>
    <row r="83" spans="1:40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</row>
    <row r="84" spans="1:40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</row>
    <row r="85" spans="1:40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</row>
    <row r="86" spans="1:40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</row>
    <row r="87" spans="1:40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</row>
    <row r="88" spans="1:40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</row>
    <row r="89" spans="1:40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</row>
    <row r="90" spans="1:40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</row>
  </sheetData>
  <conditionalFormatting sqref="N10:O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{0A9A520A-2993-4193-8D0C-9480C01C989E}</x14:id>
        </ext>
      </extLst>
    </cfRule>
  </conditionalFormatting>
  <conditionalFormatting sqref="M9:O13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{CD432CBF-B4A6-47A8-9EBD-1C49E3E1DD4E}</x14:id>
        </ext>
      </extLst>
    </cfRule>
  </conditionalFormatting>
  <conditionalFormatting sqref="I15:K15 I16:J19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{55340C41-3D8B-41FA-A21F-95C6F3423D86}</x14:id>
        </ext>
      </extLst>
    </cfRule>
  </conditionalFormatting>
  <conditionalFormatting sqref="J16:J19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{32A70677-C45F-429E-8220-5EB46DC13668}</x14:id>
        </ext>
      </extLst>
    </cfRule>
  </conditionalFormatting>
  <conditionalFormatting sqref="K16:K1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{6AD03BDF-6EDB-4453-8D0E-CD1F21468ECA}</x14:id>
        </ext>
      </extLst>
    </cfRule>
  </conditionalFormatting>
  <conditionalFormatting sqref="M15:O15 M16:N19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{FFA9033F-CC57-4A8F-BE08-D42D2D153DD2}</x14:id>
        </ext>
      </extLst>
    </cfRule>
  </conditionalFormatting>
  <conditionalFormatting sqref="N16:N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{978B4F6D-528D-470E-ADB7-B08EB62371B9}</x14:id>
        </ext>
      </extLst>
    </cfRule>
  </conditionalFormatting>
  <conditionalFormatting sqref="O16:O1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{2F8971DA-544B-42F8-94CC-DA48E3F8245F}</x14:id>
        </ext>
      </extLst>
    </cfRule>
  </conditionalFormatting>
  <conditionalFormatting sqref="M16:O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{E5C2D1B0-FD36-4097-89A6-EECF33E95E7B}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9A520A-2993-4193-8D0C-9480C01C98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N10:O13</xm:sqref>
        </x14:conditionalFormatting>
        <x14:conditionalFormatting xmlns:xm="http://schemas.microsoft.com/office/excel/2006/main">
          <x14:cfRule type="dataBar" id="{CD432CBF-B4A6-47A8-9EBD-1C49E3E1DD4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M9:O13</xm:sqref>
        </x14:conditionalFormatting>
        <x14:conditionalFormatting xmlns:xm="http://schemas.microsoft.com/office/excel/2006/main">
          <x14:cfRule type="dataBar" id="{55340C41-3D8B-41FA-A21F-95C6F3423D8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I15:K15 I16:J19</xm:sqref>
        </x14:conditionalFormatting>
        <x14:conditionalFormatting xmlns:xm="http://schemas.microsoft.com/office/excel/2006/main">
          <x14:cfRule type="dataBar" id="{32A70677-C45F-429E-8220-5EB46DC136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J16:J19</xm:sqref>
        </x14:conditionalFormatting>
        <x14:conditionalFormatting xmlns:xm="http://schemas.microsoft.com/office/excel/2006/main">
          <x14:cfRule type="dataBar" id="{6AD03BDF-6EDB-4453-8D0E-CD1F21468E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K16:K19</xm:sqref>
        </x14:conditionalFormatting>
        <x14:conditionalFormatting xmlns:xm="http://schemas.microsoft.com/office/excel/2006/main">
          <x14:cfRule type="dataBar" id="{FFA9033F-CC57-4A8F-BE08-D42D2D153DD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M15:O15 M16:N19</xm:sqref>
        </x14:conditionalFormatting>
        <x14:conditionalFormatting xmlns:xm="http://schemas.microsoft.com/office/excel/2006/main">
          <x14:cfRule type="dataBar" id="{978B4F6D-528D-470E-ADB7-B08EB62371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N16:N19</xm:sqref>
        </x14:conditionalFormatting>
        <x14:conditionalFormatting xmlns:xm="http://schemas.microsoft.com/office/excel/2006/main">
          <x14:cfRule type="dataBar" id="{2F8971DA-544B-42F8-94CC-DA48E3F82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O16:O18</xm:sqref>
        </x14:conditionalFormatting>
        <x14:conditionalFormatting xmlns:xm="http://schemas.microsoft.com/office/excel/2006/main">
          <x14:cfRule type="dataBar" id="{E5C2D1B0-FD36-4097-89A6-EECF33E95E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M16:O18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3B25-BC65-4659-A92A-84E33DE85968}">
  <sheetPr codeName="Sheet3"/>
  <dimension ref="A1:O67"/>
  <sheetViews>
    <sheetView tabSelected="1" zoomScaleNormal="100" workbookViewId="0"/>
  </sheetViews>
  <sheetFormatPr defaultRowHeight="14.5" x14ac:dyDescent="0.35"/>
  <cols>
    <col min="2" max="2" width="9.7265625" bestFit="1" customWidth="1"/>
    <col min="6" max="6" width="8.81640625" style="24" bestFit="1" customWidth="1"/>
    <col min="7" max="7" width="6.453125" style="19" bestFit="1" customWidth="1"/>
    <col min="8" max="8" width="16" style="21" bestFit="1" customWidth="1"/>
    <col min="9" max="9" width="9.08984375" style="8" customWidth="1"/>
    <col min="10" max="10" width="18.453125" bestFit="1" customWidth="1"/>
    <col min="11" max="11" width="14" bestFit="1" customWidth="1"/>
    <col min="12" max="12" width="10.7265625" bestFit="1" customWidth="1"/>
    <col min="13" max="13" width="14.90625" bestFit="1" customWidth="1"/>
    <col min="14" max="14" width="8.81640625" bestFit="1" customWidth="1"/>
    <col min="15" max="15" width="10.7265625" bestFit="1" customWidth="1"/>
    <col min="16" max="16" width="10.36328125" bestFit="1" customWidth="1"/>
    <col min="17" max="17" width="6.08984375" bestFit="1" customWidth="1"/>
    <col min="18" max="18" width="5.90625" bestFit="1" customWidth="1"/>
    <col min="19" max="19" width="6.26953125" bestFit="1" customWidth="1"/>
    <col min="20" max="20" width="6.1796875" bestFit="1" customWidth="1"/>
    <col min="21" max="21" width="10.7265625" bestFit="1" customWidth="1"/>
    <col min="22" max="22" width="10.36328125" bestFit="1" customWidth="1"/>
    <col min="23" max="23" width="11" bestFit="1" customWidth="1"/>
    <col min="24" max="24" width="10.36328125" bestFit="1" customWidth="1"/>
    <col min="25" max="25" width="11" bestFit="1" customWidth="1"/>
    <col min="26" max="26" width="8.36328125" bestFit="1" customWidth="1"/>
    <col min="27" max="30" width="10.36328125" bestFit="1" customWidth="1"/>
    <col min="31" max="31" width="7.7265625" bestFit="1" customWidth="1"/>
    <col min="32" max="32" width="10.36328125" bestFit="1" customWidth="1"/>
    <col min="33" max="33" width="11.36328125" bestFit="1" customWidth="1"/>
    <col min="35" max="35" width="10.36328125" bestFit="1" customWidth="1"/>
    <col min="36" max="36" width="11.1796875" bestFit="1" customWidth="1"/>
    <col min="37" max="37" width="8.54296875" bestFit="1" customWidth="1"/>
    <col min="38" max="38" width="10.36328125" bestFit="1" customWidth="1"/>
    <col min="39" max="39" width="11.08984375" bestFit="1" customWidth="1"/>
    <col min="40" max="40" width="8.453125" bestFit="1" customWidth="1"/>
    <col min="41" max="41" width="10.36328125" bestFit="1" customWidth="1"/>
    <col min="42" max="42" width="11.453125" bestFit="1" customWidth="1"/>
    <col min="43" max="43" width="8.81640625" bestFit="1" customWidth="1"/>
    <col min="44" max="44" width="10.36328125" bestFit="1" customWidth="1"/>
    <col min="45" max="45" width="11.26953125" bestFit="1" customWidth="1"/>
    <col min="46" max="46" width="10.36328125" bestFit="1" customWidth="1"/>
    <col min="47" max="47" width="11.26953125" bestFit="1" customWidth="1"/>
    <col min="48" max="48" width="8.6328125" bestFit="1" customWidth="1"/>
    <col min="49" max="49" width="10.7265625" bestFit="1" customWidth="1"/>
  </cols>
  <sheetData>
    <row r="1" spans="1:15" x14ac:dyDescent="0.35">
      <c r="A1" s="1"/>
      <c r="B1" s="1"/>
      <c r="C1" s="1"/>
      <c r="D1" s="1"/>
      <c r="E1" s="1"/>
      <c r="F1" s="22" t="s">
        <v>36</v>
      </c>
      <c r="G1" s="9" t="s">
        <v>11</v>
      </c>
      <c r="H1" s="31" t="s">
        <v>35</v>
      </c>
      <c r="I1" s="6"/>
      <c r="J1" s="29" t="s">
        <v>38</v>
      </c>
      <c r="K1" t="s">
        <v>37</v>
      </c>
    </row>
    <row r="2" spans="1:15" x14ac:dyDescent="0.35">
      <c r="A2" s="1"/>
      <c r="B2" s="1"/>
      <c r="C2" s="1"/>
      <c r="D2" s="1"/>
      <c r="E2" s="1"/>
      <c r="F2" s="10">
        <v>1600</v>
      </c>
      <c r="G2" s="11" t="s">
        <v>74</v>
      </c>
      <c r="H2" s="20">
        <v>45084</v>
      </c>
      <c r="I2" s="6"/>
      <c r="J2" s="30" t="s">
        <v>74</v>
      </c>
      <c r="K2">
        <v>2400</v>
      </c>
    </row>
    <row r="3" spans="1:15" x14ac:dyDescent="0.35">
      <c r="A3" s="1"/>
      <c r="B3" s="1"/>
      <c r="C3" s="1"/>
      <c r="D3" s="1"/>
      <c r="E3" s="1"/>
      <c r="F3" s="10">
        <v>800</v>
      </c>
      <c r="G3" s="11" t="s">
        <v>74</v>
      </c>
      <c r="H3" s="20">
        <v>45115</v>
      </c>
      <c r="I3" s="6"/>
      <c r="J3" s="30" t="s">
        <v>28</v>
      </c>
      <c r="K3">
        <v>900</v>
      </c>
    </row>
    <row r="4" spans="1:15" x14ac:dyDescent="0.35">
      <c r="A4" s="1"/>
      <c r="B4" s="1"/>
      <c r="C4" s="1"/>
      <c r="D4" s="1"/>
      <c r="E4" s="1"/>
      <c r="F4" s="10">
        <v>500</v>
      </c>
      <c r="G4" s="12" t="s">
        <v>28</v>
      </c>
      <c r="H4" s="20">
        <v>45162</v>
      </c>
      <c r="I4" s="6"/>
      <c r="J4" s="30" t="s">
        <v>48</v>
      </c>
      <c r="K4">
        <v>300</v>
      </c>
    </row>
    <row r="5" spans="1:15" x14ac:dyDescent="0.35">
      <c r="A5" s="1"/>
      <c r="B5" s="1"/>
      <c r="C5" s="1"/>
      <c r="D5" s="1"/>
      <c r="E5" s="1"/>
      <c r="F5" s="10">
        <v>300</v>
      </c>
      <c r="G5" s="11" t="s">
        <v>48</v>
      </c>
      <c r="H5" s="20">
        <v>45018</v>
      </c>
      <c r="I5" s="5"/>
      <c r="J5" s="30" t="s">
        <v>75</v>
      </c>
      <c r="K5">
        <v>20</v>
      </c>
    </row>
    <row r="6" spans="1:15" x14ac:dyDescent="0.35">
      <c r="A6" s="1"/>
      <c r="B6" s="1"/>
      <c r="C6" s="1"/>
      <c r="D6" s="1"/>
      <c r="E6" s="1"/>
      <c r="F6" s="10">
        <v>20</v>
      </c>
      <c r="G6" s="11" t="s">
        <v>75</v>
      </c>
      <c r="H6" s="20">
        <v>45233</v>
      </c>
      <c r="I6" s="6"/>
      <c r="J6" s="30" t="s">
        <v>34</v>
      </c>
      <c r="K6" s="24">
        <v>3620</v>
      </c>
    </row>
    <row r="7" spans="1:15" x14ac:dyDescent="0.35">
      <c r="A7" s="1"/>
      <c r="B7" s="1"/>
      <c r="C7" s="1"/>
      <c r="D7" s="1"/>
      <c r="E7" s="1"/>
      <c r="F7" s="10">
        <v>400</v>
      </c>
      <c r="G7" s="11" t="s">
        <v>28</v>
      </c>
      <c r="H7" s="20">
        <v>45263</v>
      </c>
      <c r="I7" s="6"/>
    </row>
    <row r="8" spans="1:15" x14ac:dyDescent="0.35">
      <c r="A8" s="1"/>
      <c r="B8" s="1"/>
      <c r="C8" s="1"/>
      <c r="D8" s="1"/>
      <c r="E8" s="1"/>
      <c r="F8" s="23"/>
      <c r="G8" s="11"/>
      <c r="H8" s="20"/>
      <c r="I8" s="6"/>
    </row>
    <row r="9" spans="1:15" x14ac:dyDescent="0.35">
      <c r="A9" s="1"/>
      <c r="B9" s="1"/>
      <c r="C9" s="1"/>
      <c r="D9" s="1"/>
      <c r="E9" s="1"/>
      <c r="F9" s="23"/>
      <c r="G9" s="11"/>
      <c r="H9" s="20"/>
      <c r="I9" s="6"/>
    </row>
    <row r="10" spans="1:15" x14ac:dyDescent="0.35">
      <c r="A10" s="1"/>
      <c r="B10" s="1"/>
      <c r="C10" s="1"/>
      <c r="D10" s="1"/>
      <c r="E10" s="1"/>
      <c r="F10" s="23"/>
      <c r="G10" s="11"/>
      <c r="H10" s="20"/>
      <c r="I10" s="6"/>
    </row>
    <row r="11" spans="1:15" x14ac:dyDescent="0.35">
      <c r="A11" s="1"/>
      <c r="B11" s="1"/>
      <c r="C11" s="1"/>
      <c r="D11" s="1"/>
      <c r="E11" s="1"/>
      <c r="F11" s="23"/>
      <c r="G11" s="11"/>
      <c r="H11" s="20"/>
      <c r="I11" s="6"/>
    </row>
    <row r="12" spans="1:15" x14ac:dyDescent="0.35">
      <c r="A12" s="1"/>
      <c r="B12" s="1"/>
      <c r="C12" s="1"/>
      <c r="D12" s="1"/>
      <c r="E12" s="1"/>
      <c r="F12" s="23"/>
      <c r="G12" s="11"/>
      <c r="H12" s="20"/>
      <c r="I12" s="6"/>
    </row>
    <row r="13" spans="1:15" x14ac:dyDescent="0.35">
      <c r="A13" s="1"/>
      <c r="B13" s="2"/>
      <c r="C13" s="1"/>
      <c r="D13" s="1"/>
      <c r="E13" s="1"/>
      <c r="F13" s="23"/>
      <c r="G13" s="11"/>
      <c r="H13" s="20"/>
      <c r="I13" s="6"/>
      <c r="O13" s="32"/>
    </row>
    <row r="14" spans="1:15" x14ac:dyDescent="0.35">
      <c r="A14" s="1"/>
      <c r="B14" s="1"/>
      <c r="C14" s="1"/>
      <c r="D14" s="1"/>
      <c r="E14" s="1"/>
      <c r="F14" s="23"/>
      <c r="G14" s="11"/>
      <c r="H14" s="20"/>
      <c r="I14" s="6"/>
    </row>
    <row r="15" spans="1:15" x14ac:dyDescent="0.35">
      <c r="A15" s="1"/>
      <c r="B15" s="1"/>
      <c r="C15" s="1"/>
      <c r="D15" s="1"/>
      <c r="E15" s="1"/>
      <c r="F15" s="23"/>
      <c r="G15" s="11"/>
      <c r="H15" s="20"/>
      <c r="I15" s="6"/>
    </row>
    <row r="16" spans="1:15" ht="15" thickBot="1" x14ac:dyDescent="0.4">
      <c r="A16" s="1"/>
      <c r="B16" s="1"/>
      <c r="C16" s="1"/>
      <c r="D16" s="1"/>
      <c r="E16" s="1"/>
      <c r="F16" s="23"/>
      <c r="G16" s="11"/>
      <c r="H16" s="20"/>
      <c r="I16" s="6"/>
    </row>
    <row r="17" spans="1:14" ht="19" thickBot="1" x14ac:dyDescent="0.5">
      <c r="A17" s="1"/>
      <c r="B17" s="1"/>
      <c r="C17" s="1"/>
      <c r="D17" s="1"/>
      <c r="E17" s="1"/>
      <c r="F17" s="23"/>
      <c r="G17" s="11"/>
      <c r="H17" s="20"/>
      <c r="I17" s="6"/>
      <c r="M17" s="39" t="s">
        <v>43</v>
      </c>
      <c r="N17" s="40">
        <f>SUM(F:F)</f>
        <v>3620</v>
      </c>
    </row>
    <row r="18" spans="1:14" x14ac:dyDescent="0.35">
      <c r="A18" s="1"/>
      <c r="B18" s="1"/>
      <c r="C18" s="1"/>
      <c r="D18" s="1"/>
      <c r="E18" s="1"/>
      <c r="F18" s="23"/>
      <c r="G18" s="11"/>
      <c r="H18" s="20"/>
      <c r="I18" s="6"/>
      <c r="M18" s="19"/>
      <c r="N18" s="21"/>
    </row>
    <row r="19" spans="1:14" x14ac:dyDescent="0.35">
      <c r="A19" s="1"/>
      <c r="B19" s="1"/>
      <c r="C19" s="1"/>
      <c r="D19" s="1"/>
      <c r="E19" s="1"/>
      <c r="F19" s="23"/>
      <c r="G19" s="11"/>
      <c r="H19" s="20"/>
      <c r="I19" s="6"/>
      <c r="M19" s="28"/>
      <c r="N19" s="21"/>
    </row>
    <row r="20" spans="1:14" x14ac:dyDescent="0.35">
      <c r="A20" s="1"/>
      <c r="B20" s="1"/>
      <c r="C20" s="1"/>
      <c r="D20" s="1"/>
      <c r="E20" s="1"/>
      <c r="F20" s="23"/>
      <c r="G20" s="11"/>
      <c r="H20" s="20"/>
      <c r="I20" s="6"/>
      <c r="M20" s="19"/>
      <c r="N20" s="21"/>
    </row>
    <row r="21" spans="1:14" x14ac:dyDescent="0.35">
      <c r="A21" s="1"/>
      <c r="B21" s="1"/>
      <c r="C21" s="1"/>
      <c r="D21" s="1"/>
      <c r="E21" s="1"/>
      <c r="F21" s="23"/>
      <c r="G21" s="11"/>
      <c r="H21" s="20"/>
      <c r="I21" s="6"/>
      <c r="M21" s="19"/>
      <c r="N21" s="21"/>
    </row>
    <row r="22" spans="1:14" x14ac:dyDescent="0.35">
      <c r="A22" s="1"/>
      <c r="B22" s="1"/>
      <c r="C22" s="1"/>
      <c r="D22" s="1"/>
      <c r="E22" s="1"/>
      <c r="F22" s="23"/>
      <c r="G22" s="11"/>
      <c r="H22" s="20"/>
      <c r="I22" s="7"/>
      <c r="M22" s="19"/>
      <c r="N22" s="21"/>
    </row>
    <row r="23" spans="1:14" x14ac:dyDescent="0.35">
      <c r="A23" s="1"/>
      <c r="B23" s="1"/>
      <c r="C23" s="1"/>
      <c r="D23" s="1"/>
      <c r="E23" s="1"/>
      <c r="F23" s="23"/>
      <c r="G23" s="11"/>
      <c r="H23" s="20"/>
      <c r="I23" s="6"/>
    </row>
    <row r="24" spans="1:14" x14ac:dyDescent="0.35">
      <c r="A24" s="1"/>
      <c r="B24" s="1"/>
      <c r="C24" s="1"/>
      <c r="D24" s="1"/>
      <c r="E24" s="1"/>
      <c r="F24" s="23"/>
      <c r="G24" s="11"/>
      <c r="H24" s="20"/>
      <c r="I24" s="6"/>
    </row>
    <row r="25" spans="1:14" x14ac:dyDescent="0.35">
      <c r="A25" s="1"/>
      <c r="B25" s="1"/>
      <c r="C25" s="1"/>
      <c r="D25" s="1"/>
      <c r="E25" s="1"/>
      <c r="F25" s="23"/>
      <c r="G25" s="11"/>
      <c r="H25" s="20"/>
      <c r="I25" s="6"/>
    </row>
    <row r="26" spans="1:14" x14ac:dyDescent="0.35">
      <c r="A26" s="1"/>
      <c r="B26" s="1"/>
      <c r="C26" s="1"/>
      <c r="D26" s="1"/>
      <c r="E26" s="1"/>
      <c r="F26" s="23"/>
      <c r="G26" s="11"/>
      <c r="H26" s="20"/>
      <c r="I26" s="6"/>
    </row>
    <row r="27" spans="1:14" x14ac:dyDescent="0.35">
      <c r="A27" s="1"/>
      <c r="B27" s="1"/>
      <c r="C27" s="1"/>
      <c r="D27" s="1"/>
      <c r="E27" s="1"/>
      <c r="F27" s="23"/>
      <c r="G27" s="11"/>
      <c r="H27" s="20"/>
      <c r="I27" s="6"/>
    </row>
    <row r="28" spans="1:14" x14ac:dyDescent="0.35">
      <c r="A28" s="1"/>
      <c r="B28" s="1"/>
      <c r="C28" s="1"/>
      <c r="D28" s="1"/>
      <c r="E28" s="1"/>
      <c r="F28" s="23"/>
      <c r="G28" s="11"/>
      <c r="H28" s="20"/>
      <c r="I28" s="6"/>
    </row>
    <row r="29" spans="1:14" x14ac:dyDescent="0.35">
      <c r="A29" s="1"/>
      <c r="B29" s="1"/>
      <c r="C29" s="1"/>
      <c r="D29" s="1"/>
      <c r="E29" s="1"/>
      <c r="F29" s="23"/>
      <c r="G29" s="11"/>
      <c r="H29" s="20"/>
      <c r="I29" s="6"/>
    </row>
    <row r="30" spans="1:14" x14ac:dyDescent="0.35">
      <c r="A30" s="1"/>
      <c r="B30" s="1"/>
      <c r="C30" s="1"/>
      <c r="D30" s="1"/>
      <c r="E30" s="1"/>
      <c r="F30" s="23"/>
      <c r="G30" s="11"/>
      <c r="H30" s="20"/>
      <c r="I30" s="6"/>
    </row>
    <row r="31" spans="1:14" x14ac:dyDescent="0.35">
      <c r="A31" s="1"/>
      <c r="B31" s="1"/>
      <c r="C31" s="1"/>
      <c r="D31" s="1"/>
      <c r="E31" s="1"/>
      <c r="F31" s="23"/>
      <c r="G31" s="11"/>
      <c r="H31" s="20"/>
      <c r="I31" s="6"/>
    </row>
    <row r="32" spans="1:14" x14ac:dyDescent="0.35">
      <c r="A32" s="1"/>
      <c r="B32" s="1"/>
      <c r="C32" s="1"/>
      <c r="D32" s="1"/>
      <c r="E32" s="1"/>
      <c r="F32" s="23"/>
      <c r="G32" s="11"/>
      <c r="H32" s="20"/>
      <c r="I32" s="6"/>
    </row>
    <row r="33" spans="1:9" x14ac:dyDescent="0.35">
      <c r="A33" s="1"/>
      <c r="B33" s="1"/>
      <c r="C33" s="1"/>
      <c r="D33" s="1"/>
      <c r="E33" s="1"/>
      <c r="F33" s="23"/>
      <c r="G33" s="11"/>
      <c r="H33" s="20"/>
      <c r="I33" s="6"/>
    </row>
    <row r="34" spans="1:9" x14ac:dyDescent="0.35">
      <c r="A34" s="1"/>
      <c r="B34" s="1"/>
      <c r="C34" s="1"/>
      <c r="D34" s="1"/>
      <c r="E34" s="1"/>
      <c r="F34" s="23"/>
      <c r="G34" s="11"/>
      <c r="H34" s="20"/>
      <c r="I34" s="6"/>
    </row>
    <row r="35" spans="1:9" x14ac:dyDescent="0.35">
      <c r="A35" s="1"/>
      <c r="B35" s="1"/>
      <c r="C35" s="1"/>
      <c r="D35" s="1"/>
      <c r="E35" s="1"/>
      <c r="F35" s="23"/>
      <c r="G35" s="11"/>
      <c r="H35" s="20"/>
      <c r="I35" s="6"/>
    </row>
    <row r="36" spans="1:9" x14ac:dyDescent="0.35">
      <c r="A36" s="1"/>
      <c r="B36" s="1"/>
      <c r="C36" s="1"/>
      <c r="D36" s="1"/>
      <c r="E36" s="1"/>
      <c r="F36" s="23"/>
      <c r="G36" s="11"/>
      <c r="H36" s="20"/>
      <c r="I36" s="6"/>
    </row>
    <row r="37" spans="1:9" x14ac:dyDescent="0.35">
      <c r="A37" s="1"/>
      <c r="B37" s="1"/>
      <c r="C37" s="1"/>
      <c r="D37" s="1"/>
      <c r="E37" s="1"/>
      <c r="F37" s="23"/>
      <c r="G37" s="11"/>
      <c r="H37" s="20"/>
      <c r="I37" s="6"/>
    </row>
    <row r="38" spans="1:9" x14ac:dyDescent="0.35">
      <c r="A38" s="1"/>
      <c r="B38" s="1"/>
      <c r="C38" s="1"/>
      <c r="D38" s="1"/>
      <c r="E38" s="1"/>
      <c r="F38" s="23"/>
      <c r="G38" s="11"/>
      <c r="H38" s="20"/>
      <c r="I38" s="6"/>
    </row>
    <row r="39" spans="1:9" x14ac:dyDescent="0.35">
      <c r="A39" s="1"/>
      <c r="B39" s="1"/>
      <c r="C39" s="1"/>
      <c r="D39" s="1"/>
      <c r="E39" s="1"/>
      <c r="F39" s="23"/>
      <c r="G39" s="11"/>
      <c r="H39" s="20"/>
      <c r="I39" s="6"/>
    </row>
    <row r="40" spans="1:9" x14ac:dyDescent="0.35">
      <c r="A40" s="1"/>
      <c r="B40" s="1"/>
      <c r="C40" s="1"/>
      <c r="D40" s="1"/>
      <c r="E40" s="1"/>
      <c r="F40" s="23"/>
      <c r="G40" s="11"/>
      <c r="H40" s="20"/>
      <c r="I40" s="6"/>
    </row>
    <row r="41" spans="1:9" x14ac:dyDescent="0.35">
      <c r="A41" s="1"/>
      <c r="B41" s="1"/>
      <c r="C41" s="1"/>
      <c r="D41" s="1"/>
      <c r="E41" s="1"/>
      <c r="F41" s="23"/>
      <c r="G41" s="11"/>
      <c r="H41" s="20"/>
      <c r="I41" s="6"/>
    </row>
    <row r="42" spans="1:9" x14ac:dyDescent="0.35">
      <c r="A42" s="1"/>
      <c r="B42" s="1"/>
      <c r="C42" s="1"/>
      <c r="D42" s="1"/>
      <c r="E42" s="1"/>
      <c r="F42" s="23"/>
      <c r="G42" s="11"/>
      <c r="H42" s="20"/>
      <c r="I42" s="6"/>
    </row>
    <row r="43" spans="1:9" x14ac:dyDescent="0.35">
      <c r="A43" s="1"/>
      <c r="B43" s="1"/>
      <c r="C43" s="1"/>
      <c r="D43" s="1"/>
      <c r="E43" s="1"/>
      <c r="F43" s="23"/>
      <c r="G43" s="11"/>
      <c r="H43" s="20"/>
      <c r="I43" s="6"/>
    </row>
    <row r="44" spans="1:9" x14ac:dyDescent="0.35">
      <c r="A44" s="1"/>
      <c r="B44" s="1"/>
      <c r="C44" s="1"/>
      <c r="D44" s="1"/>
      <c r="E44" s="1"/>
      <c r="F44" s="23"/>
      <c r="G44" s="11"/>
      <c r="H44" s="20"/>
      <c r="I44" s="6"/>
    </row>
    <row r="45" spans="1:9" x14ac:dyDescent="0.35">
      <c r="A45" s="1"/>
      <c r="B45" s="1"/>
      <c r="C45" s="1"/>
      <c r="D45" s="1"/>
      <c r="E45" s="1"/>
      <c r="F45" s="23"/>
      <c r="G45" s="11"/>
      <c r="H45" s="20"/>
      <c r="I45" s="6"/>
    </row>
    <row r="46" spans="1:9" x14ac:dyDescent="0.35">
      <c r="A46" s="1"/>
      <c r="B46" s="1"/>
      <c r="C46" s="1"/>
      <c r="D46" s="1"/>
      <c r="E46" s="1"/>
      <c r="F46" s="23"/>
      <c r="G46" s="11"/>
      <c r="H46" s="20"/>
      <c r="I46" s="6"/>
    </row>
    <row r="47" spans="1:9" x14ac:dyDescent="0.35">
      <c r="A47" s="1"/>
      <c r="B47" s="1"/>
      <c r="C47" s="1"/>
      <c r="D47" s="1"/>
      <c r="E47" s="1"/>
      <c r="F47" s="23"/>
      <c r="G47" s="11"/>
      <c r="H47" s="20"/>
      <c r="I47" s="6"/>
    </row>
    <row r="48" spans="1:9" x14ac:dyDescent="0.35">
      <c r="A48" s="1"/>
      <c r="B48" s="1"/>
      <c r="C48" s="1"/>
      <c r="D48" s="1"/>
      <c r="E48" s="1"/>
      <c r="F48" s="23"/>
      <c r="G48" s="11"/>
      <c r="H48" s="20"/>
      <c r="I48" s="6"/>
    </row>
    <row r="49" spans="1:9" x14ac:dyDescent="0.35">
      <c r="A49" s="1"/>
      <c r="B49" s="1"/>
      <c r="C49" s="1"/>
      <c r="D49" s="1"/>
      <c r="E49" s="1"/>
      <c r="F49" s="23"/>
      <c r="G49" s="11"/>
      <c r="H49" s="20"/>
      <c r="I49" s="6"/>
    </row>
    <row r="50" spans="1:9" x14ac:dyDescent="0.35">
      <c r="A50" s="1"/>
      <c r="B50" s="1"/>
      <c r="C50" s="1"/>
      <c r="D50" s="1"/>
      <c r="E50" s="1"/>
      <c r="F50" s="23"/>
      <c r="G50" s="11"/>
      <c r="H50" s="20"/>
      <c r="I50" s="6"/>
    </row>
    <row r="51" spans="1:9" x14ac:dyDescent="0.35">
      <c r="A51" s="1"/>
      <c r="B51" s="1"/>
      <c r="C51" s="1"/>
      <c r="D51" s="1"/>
      <c r="E51" s="1"/>
      <c r="F51" s="23"/>
      <c r="G51" s="11"/>
      <c r="H51" s="20"/>
      <c r="I51" s="6"/>
    </row>
    <row r="52" spans="1:9" x14ac:dyDescent="0.35">
      <c r="A52" s="1"/>
      <c r="B52" s="1"/>
      <c r="C52" s="1"/>
      <c r="D52" s="1"/>
      <c r="E52" s="1"/>
      <c r="F52" s="23"/>
      <c r="G52" s="11"/>
      <c r="H52" s="20"/>
      <c r="I52" s="6"/>
    </row>
    <row r="53" spans="1:9" x14ac:dyDescent="0.35">
      <c r="A53" s="1"/>
      <c r="B53" s="1"/>
      <c r="C53" s="1"/>
      <c r="D53" s="1"/>
      <c r="E53" s="1"/>
      <c r="F53" s="23"/>
      <c r="G53" s="11"/>
      <c r="H53" s="20"/>
      <c r="I53" s="6"/>
    </row>
    <row r="54" spans="1:9" x14ac:dyDescent="0.35">
      <c r="A54" s="1"/>
      <c r="B54" s="1"/>
      <c r="C54" s="1"/>
      <c r="D54" s="1"/>
      <c r="E54" s="1"/>
      <c r="F54" s="23"/>
      <c r="G54" s="11"/>
      <c r="H54" s="20"/>
      <c r="I54" s="6"/>
    </row>
    <row r="55" spans="1:9" x14ac:dyDescent="0.35">
      <c r="A55" s="1"/>
      <c r="B55" s="1"/>
      <c r="C55" s="1"/>
      <c r="D55" s="1"/>
      <c r="E55" s="1"/>
      <c r="F55" s="23"/>
      <c r="G55" s="11"/>
      <c r="H55" s="20"/>
      <c r="I55" s="6"/>
    </row>
    <row r="56" spans="1:9" x14ac:dyDescent="0.35">
      <c r="A56" s="1"/>
      <c r="B56" s="1"/>
      <c r="C56" s="1"/>
      <c r="D56" s="1"/>
      <c r="E56" s="1"/>
      <c r="F56" s="23"/>
      <c r="G56" s="11"/>
      <c r="H56" s="20"/>
      <c r="I56" s="6"/>
    </row>
    <row r="57" spans="1:9" x14ac:dyDescent="0.35">
      <c r="A57" s="1"/>
      <c r="B57" s="1"/>
      <c r="C57" s="1"/>
      <c r="D57" s="1"/>
      <c r="E57" s="1"/>
      <c r="F57" s="23"/>
      <c r="G57" s="11"/>
      <c r="H57" s="20"/>
      <c r="I57" s="6"/>
    </row>
    <row r="58" spans="1:9" x14ac:dyDescent="0.35">
      <c r="F58" s="27"/>
      <c r="G58" s="25"/>
      <c r="H58" s="26"/>
    </row>
    <row r="59" spans="1:9" x14ac:dyDescent="0.35">
      <c r="F59" s="27"/>
      <c r="G59" s="25"/>
      <c r="H59" s="26"/>
    </row>
    <row r="60" spans="1:9" x14ac:dyDescent="0.35">
      <c r="F60" s="27"/>
      <c r="G60" s="25"/>
      <c r="H60" s="26"/>
    </row>
    <row r="61" spans="1:9" x14ac:dyDescent="0.35">
      <c r="F61" s="27"/>
      <c r="G61" s="25"/>
      <c r="H61" s="26"/>
    </row>
    <row r="62" spans="1:9" x14ac:dyDescent="0.35">
      <c r="F62" s="27"/>
      <c r="G62" s="25"/>
      <c r="H62" s="26"/>
    </row>
    <row r="63" spans="1:9" x14ac:dyDescent="0.35">
      <c r="F63" s="27"/>
      <c r="G63" s="25"/>
      <c r="H63" s="26"/>
    </row>
    <row r="64" spans="1:9" x14ac:dyDescent="0.35">
      <c r="F64" s="27"/>
      <c r="G64" s="25"/>
      <c r="H64" s="26"/>
    </row>
    <row r="65" spans="6:8" x14ac:dyDescent="0.35">
      <c r="F65" s="27"/>
      <c r="G65" s="25"/>
      <c r="H65" s="26"/>
    </row>
    <row r="66" spans="6:8" x14ac:dyDescent="0.35">
      <c r="F66" s="27"/>
      <c r="G66" s="25"/>
      <c r="H66" s="26"/>
    </row>
    <row r="67" spans="6:8" x14ac:dyDescent="0.35">
      <c r="F67" s="27"/>
      <c r="G67" s="25"/>
      <c r="H67" s="26"/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D4EF6-105C-431B-AB9A-24A6A97BEEB9}">
  <sheetPr codeName="Sheet2"/>
  <dimension ref="A1:P56"/>
  <sheetViews>
    <sheetView zoomScale="107" zoomScaleNormal="130" workbookViewId="0"/>
  </sheetViews>
  <sheetFormatPr defaultRowHeight="14.5" x14ac:dyDescent="0.35"/>
  <cols>
    <col min="2" max="2" width="18.08984375" bestFit="1" customWidth="1"/>
    <col min="6" max="6" width="13.36328125" bestFit="1" customWidth="1"/>
    <col min="7" max="7" width="11.6328125" bestFit="1" customWidth="1"/>
    <col min="8" max="8" width="19.08984375" bestFit="1" customWidth="1"/>
    <col min="9" max="9" width="13" bestFit="1" customWidth="1"/>
    <col min="10" max="10" width="27.6328125" bestFit="1" customWidth="1"/>
    <col min="12" max="12" width="17.453125" bestFit="1" customWidth="1"/>
    <col min="13" max="13" width="17.90625" bestFit="1" customWidth="1"/>
    <col min="14" max="15" width="15.90625" bestFit="1" customWidth="1"/>
    <col min="16" max="16" width="7.90625" bestFit="1" customWidth="1"/>
  </cols>
  <sheetData>
    <row r="1" spans="1:16" x14ac:dyDescent="0.35">
      <c r="A1" s="1"/>
      <c r="B1" s="1"/>
      <c r="C1" s="1"/>
      <c r="D1" s="1"/>
      <c r="E1" s="1"/>
      <c r="F1" s="16" t="s">
        <v>20</v>
      </c>
      <c r="G1" s="16" t="s">
        <v>21</v>
      </c>
      <c r="H1" s="16" t="s">
        <v>22</v>
      </c>
      <c r="I1" s="16" t="s">
        <v>11</v>
      </c>
      <c r="J1" s="16" t="s">
        <v>33</v>
      </c>
      <c r="L1" t="s">
        <v>42</v>
      </c>
      <c r="M1" t="s">
        <v>41</v>
      </c>
    </row>
    <row r="2" spans="1:16" ht="15" thickBot="1" x14ac:dyDescent="0.4">
      <c r="A2" s="1"/>
      <c r="B2" s="1"/>
      <c r="C2" s="1"/>
      <c r="D2" s="1"/>
      <c r="E2" s="1"/>
      <c r="F2" s="13" t="s">
        <v>2</v>
      </c>
      <c r="G2" s="10">
        <v>2.5</v>
      </c>
      <c r="H2" s="15">
        <v>45021</v>
      </c>
      <c r="I2" s="13" t="s">
        <v>39</v>
      </c>
      <c r="J2" s="13" t="s">
        <v>40</v>
      </c>
      <c r="L2" s="30" t="s">
        <v>2</v>
      </c>
      <c r="M2">
        <v>2.5</v>
      </c>
    </row>
    <row r="3" spans="1:16" ht="19" thickBot="1" x14ac:dyDescent="0.5">
      <c r="A3" s="1"/>
      <c r="B3" s="1"/>
      <c r="C3" s="1"/>
      <c r="D3" s="1"/>
      <c r="E3" s="1"/>
      <c r="F3" s="13" t="s">
        <v>31</v>
      </c>
      <c r="G3" s="10">
        <v>12</v>
      </c>
      <c r="H3" s="15">
        <v>44997</v>
      </c>
      <c r="I3" s="13" t="s">
        <v>25</v>
      </c>
      <c r="J3" s="13"/>
      <c r="L3" s="30" t="s">
        <v>31</v>
      </c>
      <c r="M3">
        <v>12</v>
      </c>
      <c r="O3" s="39" t="s">
        <v>44</v>
      </c>
      <c r="P3" s="24">
        <f>SUM(G:G)</f>
        <v>135.5</v>
      </c>
    </row>
    <row r="4" spans="1:16" x14ac:dyDescent="0.35">
      <c r="A4" s="1"/>
      <c r="B4" s="1"/>
      <c r="C4" s="1"/>
      <c r="D4" s="1"/>
      <c r="E4" s="1"/>
      <c r="F4" s="13" t="s">
        <v>1</v>
      </c>
      <c r="G4" s="10">
        <v>6</v>
      </c>
      <c r="H4" s="15">
        <v>45230</v>
      </c>
      <c r="I4" s="13" t="s">
        <v>56</v>
      </c>
      <c r="J4" s="13" t="s">
        <v>57</v>
      </c>
      <c r="L4" s="30" t="s">
        <v>1</v>
      </c>
      <c r="M4">
        <v>86</v>
      </c>
    </row>
    <row r="5" spans="1:16" x14ac:dyDescent="0.35">
      <c r="A5" s="1"/>
      <c r="B5" s="1"/>
      <c r="C5" s="1"/>
      <c r="D5" s="1"/>
      <c r="E5" s="1"/>
      <c r="F5" s="13" t="s">
        <v>32</v>
      </c>
      <c r="G5" s="10">
        <v>12</v>
      </c>
      <c r="H5" s="15">
        <v>45150</v>
      </c>
      <c r="I5" s="13" t="s">
        <v>25</v>
      </c>
      <c r="J5" s="13" t="s">
        <v>70</v>
      </c>
      <c r="L5" s="30" t="s">
        <v>32</v>
      </c>
      <c r="M5">
        <v>12</v>
      </c>
    </row>
    <row r="6" spans="1:16" x14ac:dyDescent="0.35">
      <c r="A6" s="1"/>
      <c r="B6" s="1"/>
      <c r="C6" s="1"/>
      <c r="D6" s="1"/>
      <c r="E6" s="1"/>
      <c r="F6" s="13" t="s">
        <v>0</v>
      </c>
      <c r="G6" s="10">
        <v>23</v>
      </c>
      <c r="H6" s="15">
        <v>45161</v>
      </c>
      <c r="I6" s="13" t="s">
        <v>76</v>
      </c>
      <c r="J6" s="13" t="s">
        <v>77</v>
      </c>
      <c r="L6" s="30" t="s">
        <v>0</v>
      </c>
      <c r="M6">
        <v>23</v>
      </c>
    </row>
    <row r="7" spans="1:16" x14ac:dyDescent="0.35">
      <c r="A7" s="1"/>
      <c r="B7" s="1"/>
      <c r="C7" s="1"/>
      <c r="D7" s="1"/>
      <c r="E7" s="1"/>
      <c r="F7" s="13" t="s">
        <v>1</v>
      </c>
      <c r="G7" s="10">
        <v>80</v>
      </c>
      <c r="H7" s="15">
        <v>45263</v>
      </c>
      <c r="I7" s="13" t="s">
        <v>78</v>
      </c>
      <c r="J7" s="13" t="s">
        <v>79</v>
      </c>
      <c r="L7" s="30" t="s">
        <v>34</v>
      </c>
      <c r="M7" s="24">
        <v>135.5</v>
      </c>
    </row>
    <row r="8" spans="1:16" x14ac:dyDescent="0.35">
      <c r="A8" s="1"/>
      <c r="B8" s="1"/>
      <c r="C8" s="1"/>
      <c r="D8" s="1"/>
      <c r="E8" s="1"/>
      <c r="F8" s="13"/>
      <c r="G8" s="10"/>
      <c r="H8" s="15"/>
      <c r="I8" s="13"/>
      <c r="J8" s="13"/>
    </row>
    <row r="9" spans="1:16" x14ac:dyDescent="0.35">
      <c r="A9" s="1"/>
      <c r="B9" s="1"/>
      <c r="C9" s="1"/>
      <c r="D9" s="1"/>
      <c r="E9" s="1"/>
      <c r="F9" s="13"/>
      <c r="G9" s="10"/>
      <c r="H9" s="15"/>
      <c r="I9" s="13"/>
      <c r="J9" s="13"/>
    </row>
    <row r="10" spans="1:16" x14ac:dyDescent="0.35">
      <c r="A10" s="1"/>
      <c r="B10" s="1"/>
      <c r="C10" s="1"/>
      <c r="D10" s="1"/>
      <c r="E10" s="1"/>
      <c r="F10" s="13"/>
      <c r="G10" s="10"/>
      <c r="H10" s="15"/>
      <c r="I10" s="13"/>
      <c r="J10" s="13"/>
    </row>
    <row r="11" spans="1:16" x14ac:dyDescent="0.35">
      <c r="A11" s="1"/>
      <c r="B11" s="1"/>
      <c r="C11" s="1"/>
      <c r="D11" s="1"/>
      <c r="E11" s="1"/>
      <c r="F11" s="13"/>
      <c r="G11" s="10"/>
      <c r="H11" s="15"/>
      <c r="I11" s="13"/>
      <c r="J11" s="13"/>
    </row>
    <row r="12" spans="1:16" x14ac:dyDescent="0.35">
      <c r="A12" s="17"/>
      <c r="B12" s="18" t="s">
        <v>24</v>
      </c>
      <c r="C12" s="17"/>
      <c r="D12" s="1"/>
      <c r="E12" s="1"/>
      <c r="F12" s="13"/>
      <c r="G12" s="10"/>
      <c r="H12" s="15"/>
      <c r="I12" s="13"/>
      <c r="J12" s="13"/>
    </row>
    <row r="13" spans="1:16" x14ac:dyDescent="0.35">
      <c r="A13" s="17"/>
      <c r="B13" s="17" t="s">
        <v>0</v>
      </c>
      <c r="C13" s="17"/>
      <c r="D13" s="1"/>
      <c r="E13" s="1"/>
      <c r="F13" s="13"/>
      <c r="G13" s="10"/>
      <c r="H13" s="15"/>
      <c r="I13" s="13"/>
      <c r="J13" s="13"/>
    </row>
    <row r="14" spans="1:16" x14ac:dyDescent="0.35">
      <c r="A14" s="17"/>
      <c r="B14" s="17" t="s">
        <v>2</v>
      </c>
      <c r="C14" s="17"/>
      <c r="D14" s="1"/>
      <c r="E14" s="1"/>
      <c r="F14" s="13"/>
      <c r="G14" s="10"/>
      <c r="H14" s="15"/>
      <c r="I14" s="13"/>
      <c r="J14" s="13"/>
    </row>
    <row r="15" spans="1:16" x14ac:dyDescent="0.35">
      <c r="A15" s="17"/>
      <c r="B15" s="17" t="s">
        <v>31</v>
      </c>
      <c r="C15" s="17"/>
      <c r="D15" s="1"/>
      <c r="E15" s="1"/>
      <c r="F15" s="13"/>
      <c r="G15" s="13"/>
      <c r="H15" s="13"/>
      <c r="I15" s="13"/>
      <c r="J15" s="13"/>
    </row>
    <row r="16" spans="1:16" x14ac:dyDescent="0.35">
      <c r="A16" s="17"/>
      <c r="B16" s="17" t="s">
        <v>30</v>
      </c>
      <c r="C16" s="17"/>
      <c r="D16" s="1"/>
      <c r="E16" s="1"/>
      <c r="F16" s="13"/>
      <c r="G16" s="13"/>
      <c r="H16" s="13"/>
      <c r="I16" s="13"/>
      <c r="J16" s="13"/>
    </row>
    <row r="17" spans="1:10" x14ac:dyDescent="0.35">
      <c r="A17" s="17"/>
      <c r="B17" s="17" t="s">
        <v>1</v>
      </c>
      <c r="C17" s="17"/>
      <c r="D17" s="1"/>
      <c r="E17" s="1"/>
      <c r="F17" s="13"/>
      <c r="G17" s="13"/>
      <c r="H17" s="13"/>
      <c r="I17" s="13"/>
      <c r="J17" s="13"/>
    </row>
    <row r="18" spans="1:10" x14ac:dyDescent="0.35">
      <c r="A18" s="17"/>
      <c r="B18" s="17" t="s">
        <v>32</v>
      </c>
      <c r="C18" s="17"/>
      <c r="D18" s="1"/>
      <c r="E18" s="1"/>
      <c r="F18" s="13"/>
      <c r="G18" s="13"/>
      <c r="H18" s="13"/>
      <c r="I18" s="13"/>
      <c r="J18" s="13"/>
    </row>
    <row r="19" spans="1:10" x14ac:dyDescent="0.35">
      <c r="A19" s="17"/>
      <c r="B19" s="17" t="s">
        <v>23</v>
      </c>
      <c r="C19" s="17"/>
      <c r="D19" s="1"/>
      <c r="E19" s="1"/>
      <c r="F19" s="13"/>
      <c r="G19" s="13"/>
      <c r="H19" s="13"/>
      <c r="I19" s="10"/>
      <c r="J19" s="15"/>
    </row>
    <row r="20" spans="1:10" x14ac:dyDescent="0.35">
      <c r="A20" s="1"/>
      <c r="B20" s="1"/>
      <c r="C20" s="1"/>
      <c r="D20" s="1"/>
      <c r="E20" s="1"/>
      <c r="F20" s="13"/>
      <c r="G20" s="13"/>
      <c r="H20" s="13"/>
      <c r="I20" s="13"/>
      <c r="J20" s="13"/>
    </row>
    <row r="21" spans="1:10" x14ac:dyDescent="0.35">
      <c r="A21" s="1"/>
      <c r="B21" s="1"/>
      <c r="C21" s="1"/>
      <c r="D21" s="1"/>
      <c r="E21" s="1"/>
      <c r="F21" s="13"/>
      <c r="G21" s="13"/>
      <c r="H21" s="13"/>
      <c r="I21" s="13"/>
      <c r="J21" s="13"/>
    </row>
    <row r="22" spans="1:10" x14ac:dyDescent="0.35">
      <c r="A22" s="1"/>
      <c r="B22" s="1"/>
      <c r="C22" s="1"/>
      <c r="D22" s="1"/>
      <c r="E22" s="1"/>
      <c r="F22" s="13"/>
      <c r="G22" s="13"/>
      <c r="H22" s="13"/>
      <c r="I22" s="13"/>
      <c r="J22" s="13"/>
    </row>
    <row r="23" spans="1:10" x14ac:dyDescent="0.35">
      <c r="A23" s="1"/>
      <c r="B23" s="1"/>
      <c r="C23" s="1"/>
      <c r="D23" s="1"/>
      <c r="E23" s="1"/>
      <c r="F23" s="13"/>
      <c r="G23" s="13"/>
      <c r="H23" s="13"/>
      <c r="I23" s="13"/>
      <c r="J23" s="13"/>
    </row>
    <row r="24" spans="1:10" x14ac:dyDescent="0.35">
      <c r="A24" s="1"/>
      <c r="B24" s="1"/>
      <c r="C24" s="1"/>
      <c r="D24" s="1"/>
      <c r="E24" s="1"/>
      <c r="F24" s="13"/>
      <c r="G24" s="13"/>
      <c r="H24" s="13"/>
      <c r="I24" s="13"/>
      <c r="J24" s="13"/>
    </row>
    <row r="25" spans="1:10" x14ac:dyDescent="0.35">
      <c r="A25" s="1"/>
      <c r="B25" s="1"/>
      <c r="C25" s="1"/>
      <c r="D25" s="1"/>
      <c r="E25" s="1"/>
      <c r="F25" s="13"/>
      <c r="G25" s="13"/>
      <c r="H25" s="13"/>
      <c r="I25" s="13"/>
      <c r="J25" s="13"/>
    </row>
    <row r="26" spans="1:10" x14ac:dyDescent="0.35">
      <c r="A26" s="1"/>
      <c r="B26" s="1"/>
      <c r="C26" s="1"/>
      <c r="D26" s="1"/>
      <c r="E26" s="1"/>
      <c r="F26" s="13"/>
      <c r="G26" s="13"/>
      <c r="H26" s="13"/>
      <c r="I26" s="13"/>
      <c r="J26" s="13"/>
    </row>
    <row r="27" spans="1:10" x14ac:dyDescent="0.35">
      <c r="A27" s="1"/>
      <c r="B27" s="1"/>
      <c r="C27" s="1"/>
      <c r="D27" s="1"/>
      <c r="E27" s="1"/>
      <c r="F27" s="13"/>
      <c r="G27" s="13"/>
      <c r="H27" s="13"/>
      <c r="I27" s="13"/>
      <c r="J27" s="13"/>
    </row>
    <row r="28" spans="1:10" x14ac:dyDescent="0.35">
      <c r="A28" s="1"/>
      <c r="B28" s="1"/>
      <c r="C28" s="1"/>
      <c r="D28" s="1"/>
      <c r="E28" s="1"/>
      <c r="F28" s="13"/>
      <c r="G28" s="13"/>
      <c r="H28" s="13"/>
      <c r="I28" s="13"/>
      <c r="J28" s="13"/>
    </row>
    <row r="29" spans="1:10" x14ac:dyDescent="0.35">
      <c r="A29" s="1"/>
      <c r="B29" s="1"/>
      <c r="C29" s="1"/>
      <c r="D29" s="1"/>
      <c r="E29" s="1"/>
      <c r="F29" s="13"/>
      <c r="G29" s="13"/>
      <c r="H29" s="13"/>
      <c r="I29" s="13"/>
      <c r="J29" s="13"/>
    </row>
    <row r="30" spans="1:10" x14ac:dyDescent="0.35">
      <c r="A30" s="1"/>
      <c r="B30" s="1"/>
      <c r="C30" s="1"/>
      <c r="D30" s="1"/>
      <c r="E30" s="1"/>
      <c r="F30" s="13"/>
      <c r="G30" s="13"/>
      <c r="H30" s="13"/>
      <c r="I30" s="13"/>
      <c r="J30" s="13"/>
    </row>
    <row r="31" spans="1:10" x14ac:dyDescent="0.35">
      <c r="A31" s="1"/>
      <c r="B31" s="1"/>
      <c r="C31" s="1"/>
      <c r="D31" s="1"/>
      <c r="E31" s="1"/>
      <c r="F31" s="13"/>
      <c r="G31" s="13"/>
      <c r="H31" s="13"/>
      <c r="I31" s="13"/>
      <c r="J31" s="13"/>
    </row>
    <row r="32" spans="1:10" x14ac:dyDescent="0.35">
      <c r="A32" s="1"/>
      <c r="B32" s="1"/>
      <c r="C32" s="1"/>
      <c r="D32" s="1"/>
      <c r="E32" s="1"/>
      <c r="F32" s="13"/>
      <c r="G32" s="13"/>
      <c r="H32" s="13"/>
      <c r="I32" s="13"/>
      <c r="J32" s="13"/>
    </row>
    <row r="33" spans="1:10" x14ac:dyDescent="0.35">
      <c r="A33" s="1"/>
      <c r="B33" s="1"/>
      <c r="C33" s="1"/>
      <c r="D33" s="1"/>
      <c r="E33" s="1"/>
      <c r="F33" s="13"/>
      <c r="G33" s="13"/>
      <c r="H33" s="13"/>
      <c r="I33" s="13"/>
      <c r="J33" s="13"/>
    </row>
    <row r="34" spans="1:10" x14ac:dyDescent="0.35">
      <c r="A34" s="1"/>
      <c r="B34" s="1"/>
      <c r="C34" s="1"/>
      <c r="D34" s="1"/>
      <c r="E34" s="1"/>
      <c r="F34" s="13"/>
      <c r="G34" s="13"/>
      <c r="H34" s="13"/>
      <c r="I34" s="13"/>
      <c r="J34" s="13"/>
    </row>
    <row r="35" spans="1:10" x14ac:dyDescent="0.35">
      <c r="A35" s="1"/>
      <c r="B35" s="1"/>
      <c r="C35" s="1"/>
      <c r="D35" s="1"/>
      <c r="E35" s="1"/>
      <c r="F35" s="13"/>
      <c r="G35" s="13"/>
      <c r="H35" s="13"/>
      <c r="I35" s="13"/>
      <c r="J35" s="13"/>
    </row>
    <row r="36" spans="1:10" x14ac:dyDescent="0.35">
      <c r="A36" s="1"/>
      <c r="B36" s="1"/>
      <c r="C36" s="1"/>
      <c r="D36" s="1"/>
      <c r="E36" s="1"/>
      <c r="F36" s="13"/>
      <c r="G36" s="13"/>
      <c r="H36" s="13"/>
      <c r="I36" s="13"/>
      <c r="J36" s="13"/>
    </row>
    <row r="37" spans="1:10" x14ac:dyDescent="0.35">
      <c r="A37" s="1"/>
      <c r="B37" s="1"/>
      <c r="C37" s="1"/>
      <c r="D37" s="1"/>
      <c r="E37" s="1"/>
      <c r="F37" s="13"/>
      <c r="G37" s="13"/>
      <c r="H37" s="13"/>
      <c r="I37" s="13"/>
      <c r="J37" s="13"/>
    </row>
    <row r="38" spans="1:10" x14ac:dyDescent="0.35">
      <c r="A38" s="1"/>
      <c r="B38" s="1"/>
      <c r="C38" s="1"/>
      <c r="D38" s="1"/>
      <c r="E38" s="1"/>
      <c r="F38" s="13"/>
      <c r="G38" s="13"/>
      <c r="H38" s="13"/>
      <c r="I38" s="13"/>
      <c r="J38" s="13"/>
    </row>
    <row r="39" spans="1:10" x14ac:dyDescent="0.35">
      <c r="A39" s="1"/>
      <c r="B39" s="1"/>
      <c r="C39" s="1"/>
      <c r="D39" s="1"/>
      <c r="E39" s="1"/>
      <c r="F39" s="13"/>
      <c r="G39" s="13"/>
      <c r="H39" s="13"/>
      <c r="I39" s="13"/>
      <c r="J39" s="13"/>
    </row>
    <row r="40" spans="1:10" x14ac:dyDescent="0.35">
      <c r="A40" s="1"/>
      <c r="B40" s="1"/>
      <c r="C40" s="1"/>
      <c r="D40" s="1"/>
      <c r="E40" s="1"/>
      <c r="F40" s="13"/>
      <c r="G40" s="13"/>
      <c r="H40" s="13"/>
      <c r="I40" s="13"/>
      <c r="J40" s="13"/>
    </row>
    <row r="41" spans="1:10" x14ac:dyDescent="0.35">
      <c r="A41" s="1"/>
      <c r="B41" s="1"/>
      <c r="C41" s="1"/>
      <c r="D41" s="1"/>
      <c r="E41" s="1"/>
      <c r="F41" s="13"/>
      <c r="G41" s="13"/>
      <c r="H41" s="13"/>
      <c r="I41" s="13"/>
      <c r="J41" s="13"/>
    </row>
    <row r="42" spans="1:10" x14ac:dyDescent="0.35">
      <c r="A42" s="1"/>
      <c r="B42" s="1"/>
      <c r="C42" s="1"/>
      <c r="D42" s="1"/>
      <c r="E42" s="1"/>
      <c r="F42" s="13"/>
      <c r="G42" s="13"/>
      <c r="H42" s="13"/>
      <c r="I42" s="13"/>
      <c r="J42" s="13"/>
    </row>
    <row r="43" spans="1:10" x14ac:dyDescent="0.35">
      <c r="A43" s="1"/>
      <c r="B43" s="1"/>
      <c r="C43" s="1"/>
      <c r="D43" s="1"/>
      <c r="E43" s="1"/>
      <c r="F43" s="13"/>
      <c r="G43" s="13"/>
      <c r="H43" s="13"/>
      <c r="I43" s="13"/>
      <c r="J43" s="13"/>
    </row>
    <row r="44" spans="1:10" x14ac:dyDescent="0.35">
      <c r="A44" s="1"/>
      <c r="B44" s="1"/>
      <c r="C44" s="1"/>
      <c r="D44" s="1"/>
      <c r="E44" s="1"/>
      <c r="F44" s="13"/>
      <c r="G44" s="13"/>
      <c r="H44" s="13"/>
      <c r="I44" s="13"/>
      <c r="J44" s="13"/>
    </row>
    <row r="45" spans="1:10" x14ac:dyDescent="0.35">
      <c r="A45" s="1"/>
      <c r="B45" s="1"/>
      <c r="C45" s="1"/>
      <c r="D45" s="1"/>
      <c r="E45" s="1"/>
      <c r="F45" s="13"/>
      <c r="G45" s="13"/>
      <c r="H45" s="13"/>
      <c r="I45" s="13"/>
      <c r="J45" s="13"/>
    </row>
    <row r="46" spans="1:10" x14ac:dyDescent="0.35">
      <c r="A46" s="1"/>
      <c r="B46" s="1"/>
      <c r="C46" s="1"/>
      <c r="D46" s="1"/>
      <c r="E46" s="1"/>
      <c r="F46" s="13"/>
      <c r="G46" s="13"/>
      <c r="H46" s="13"/>
      <c r="I46" s="13"/>
      <c r="J46" s="13"/>
    </row>
    <row r="47" spans="1:10" x14ac:dyDescent="0.35">
      <c r="A47" s="1"/>
      <c r="B47" s="1"/>
      <c r="C47" s="1"/>
      <c r="D47" s="1"/>
      <c r="E47" s="1"/>
      <c r="F47" s="13"/>
      <c r="G47" s="13"/>
      <c r="H47" s="13"/>
      <c r="I47" s="13"/>
      <c r="J47" s="13"/>
    </row>
    <row r="48" spans="1:10" x14ac:dyDescent="0.35">
      <c r="A48" s="1"/>
      <c r="B48" s="1"/>
      <c r="C48" s="1"/>
      <c r="D48" s="1"/>
      <c r="E48" s="1"/>
      <c r="F48" s="13"/>
      <c r="G48" s="13"/>
      <c r="H48" s="13"/>
      <c r="I48" s="13"/>
      <c r="J48" s="13"/>
    </row>
    <row r="49" spans="1:10" x14ac:dyDescent="0.35">
      <c r="A49" s="1"/>
      <c r="B49" s="1"/>
      <c r="C49" s="1"/>
      <c r="D49" s="1"/>
      <c r="E49" s="1"/>
      <c r="F49" s="13"/>
      <c r="G49" s="13"/>
      <c r="H49" s="13"/>
      <c r="I49" s="13"/>
      <c r="J49" s="13"/>
    </row>
    <row r="50" spans="1:10" x14ac:dyDescent="0.35">
      <c r="A50" s="1"/>
      <c r="B50" s="1"/>
      <c r="C50" s="1"/>
      <c r="D50" s="1"/>
      <c r="E50" s="1"/>
      <c r="F50" s="13"/>
      <c r="G50" s="13"/>
      <c r="H50" s="13"/>
      <c r="I50" s="13"/>
      <c r="J50" s="13"/>
    </row>
    <row r="51" spans="1:10" x14ac:dyDescent="0.35">
      <c r="A51" s="1"/>
      <c r="B51" s="1"/>
      <c r="C51" s="1"/>
      <c r="D51" s="1"/>
      <c r="E51" s="1"/>
      <c r="F51" s="13"/>
      <c r="G51" s="13"/>
      <c r="H51" s="13"/>
      <c r="I51" s="13"/>
      <c r="J51" s="13"/>
    </row>
    <row r="52" spans="1:10" x14ac:dyDescent="0.35">
      <c r="A52" s="1"/>
      <c r="B52" s="1"/>
      <c r="C52" s="1"/>
      <c r="D52" s="1"/>
      <c r="E52" s="1"/>
      <c r="F52" s="13"/>
      <c r="G52" s="13"/>
      <c r="H52" s="13"/>
      <c r="I52" s="13"/>
      <c r="J52" s="13"/>
    </row>
    <row r="53" spans="1:10" x14ac:dyDescent="0.35">
      <c r="A53" s="1"/>
      <c r="B53" s="1"/>
      <c r="C53" s="1"/>
      <c r="D53" s="1"/>
      <c r="E53" s="1"/>
      <c r="F53" s="13"/>
      <c r="G53" s="13"/>
      <c r="H53" s="13"/>
      <c r="I53" s="13"/>
      <c r="J53" s="13"/>
    </row>
    <row r="54" spans="1:10" x14ac:dyDescent="0.35">
      <c r="A54" s="1"/>
      <c r="B54" s="1"/>
      <c r="C54" s="1"/>
      <c r="D54" s="1"/>
      <c r="E54" s="1"/>
      <c r="F54" s="13"/>
      <c r="G54" s="13"/>
      <c r="H54" s="13"/>
      <c r="I54" s="13"/>
      <c r="J54" s="13"/>
    </row>
    <row r="55" spans="1:10" x14ac:dyDescent="0.35">
      <c r="A55" s="1"/>
      <c r="B55" s="1"/>
      <c r="C55" s="1"/>
      <c r="D55" s="1"/>
      <c r="E55" s="1"/>
      <c r="F55" s="13"/>
      <c r="G55" s="13"/>
      <c r="H55" s="13"/>
      <c r="I55" s="13"/>
      <c r="J55" s="13"/>
    </row>
    <row r="56" spans="1:10" x14ac:dyDescent="0.35">
      <c r="A56" s="1"/>
      <c r="B56" s="1"/>
      <c r="C56" s="1"/>
      <c r="D56" s="1"/>
      <c r="E56" s="1"/>
      <c r="F56" s="13"/>
      <c r="G56" s="13"/>
      <c r="H56" s="13"/>
      <c r="I56" s="13"/>
      <c r="J56" s="13"/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5DCD-9DE8-4762-BAEB-3C0EC9C90296}">
  <sheetPr codeName="Sheet9"/>
  <dimension ref="A1:V68"/>
  <sheetViews>
    <sheetView zoomScale="72" zoomScaleNormal="85" workbookViewId="0">
      <selection activeCell="D9" sqref="D9"/>
    </sheetView>
  </sheetViews>
  <sheetFormatPr defaultRowHeight="14.5" x14ac:dyDescent="0.35"/>
  <cols>
    <col min="2" max="2" width="9.7265625" bestFit="1" customWidth="1"/>
    <col min="5" max="5" width="8.453125" customWidth="1"/>
    <col min="6" max="6" width="14.26953125" bestFit="1" customWidth="1"/>
    <col min="7" max="7" width="10.26953125" style="19" bestFit="1" customWidth="1"/>
    <col min="8" max="8" width="19.54296875" style="36" bestFit="1" customWidth="1"/>
    <col min="9" max="9" width="11.81640625" style="8" customWidth="1"/>
    <col min="10" max="10" width="20.7265625" style="8" bestFit="1" customWidth="1"/>
    <col min="11" max="11" width="10.26953125" style="19" bestFit="1" customWidth="1"/>
    <col min="12" max="12" width="19.54296875" style="8" bestFit="1" customWidth="1"/>
    <col min="13" max="13" width="10.26953125" bestFit="1" customWidth="1"/>
    <col min="14" max="14" width="28" bestFit="1" customWidth="1"/>
    <col min="15" max="15" width="2.6328125" customWidth="1"/>
    <col min="16" max="16" width="12.453125" bestFit="1" customWidth="1"/>
  </cols>
  <sheetData>
    <row r="1" spans="1:22" x14ac:dyDescent="0.35">
      <c r="A1" s="1"/>
      <c r="B1" s="1"/>
      <c r="C1" s="1"/>
      <c r="D1" s="1"/>
      <c r="E1" s="1"/>
      <c r="F1" s="14"/>
      <c r="G1" s="37"/>
      <c r="H1" s="35"/>
      <c r="I1" s="6"/>
      <c r="J1" s="6"/>
      <c r="K1" s="2"/>
      <c r="L1" s="6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2" x14ac:dyDescent="0.35">
      <c r="A2" s="1"/>
      <c r="B2" s="1"/>
      <c r="C2" s="1"/>
      <c r="D2" s="1"/>
      <c r="E2" s="1"/>
      <c r="F2" s="46" t="s">
        <v>12</v>
      </c>
      <c r="G2" s="46" t="s">
        <v>11</v>
      </c>
      <c r="H2" s="47" t="s">
        <v>26</v>
      </c>
      <c r="I2" s="6"/>
      <c r="J2" s="56" t="s">
        <v>47</v>
      </c>
      <c r="K2" s="46" t="s">
        <v>11</v>
      </c>
      <c r="L2" s="47" t="s">
        <v>26</v>
      </c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22" x14ac:dyDescent="0.35">
      <c r="A3" s="1"/>
      <c r="B3" s="1"/>
      <c r="C3" s="1"/>
      <c r="D3" s="1"/>
      <c r="E3" s="1"/>
      <c r="F3" s="48">
        <v>2000</v>
      </c>
      <c r="G3" s="49" t="s">
        <v>6</v>
      </c>
      <c r="H3" s="50">
        <v>45264</v>
      </c>
      <c r="I3" s="6"/>
      <c r="J3" s="57">
        <v>3000</v>
      </c>
      <c r="K3" s="51" t="s">
        <v>28</v>
      </c>
      <c r="L3" s="50">
        <v>45274</v>
      </c>
      <c r="M3" s="65"/>
      <c r="N3" s="65"/>
      <c r="O3" s="65"/>
      <c r="P3" s="65"/>
      <c r="Q3" s="65"/>
      <c r="R3" s="65"/>
      <c r="S3" s="65"/>
      <c r="T3" s="65"/>
      <c r="U3" s="65"/>
      <c r="V3" s="65"/>
    </row>
    <row r="4" spans="1:22" ht="15" thickBot="1" x14ac:dyDescent="0.4">
      <c r="A4" s="1"/>
      <c r="B4" s="1"/>
      <c r="C4" s="1"/>
      <c r="D4" s="1"/>
      <c r="E4" s="1"/>
      <c r="F4" s="48">
        <v>5000</v>
      </c>
      <c r="G4" s="51" t="s">
        <v>28</v>
      </c>
      <c r="H4" s="50">
        <v>45101</v>
      </c>
      <c r="I4" s="6"/>
      <c r="J4" s="57">
        <v>400</v>
      </c>
      <c r="K4" s="51" t="s">
        <v>48</v>
      </c>
      <c r="L4" s="50">
        <v>45089</v>
      </c>
      <c r="M4" s="70"/>
      <c r="N4" s="65"/>
      <c r="O4" s="65"/>
      <c r="P4" s="65"/>
      <c r="Q4" s="65"/>
      <c r="R4" s="65"/>
      <c r="S4" s="65"/>
      <c r="T4" s="65"/>
      <c r="U4" s="65"/>
      <c r="V4" s="65"/>
    </row>
    <row r="5" spans="1:22" ht="21" x14ac:dyDescent="0.5">
      <c r="A5" s="1"/>
      <c r="B5" s="1"/>
      <c r="C5" s="1"/>
      <c r="D5" s="1"/>
      <c r="E5" s="1"/>
      <c r="F5" s="48">
        <v>400</v>
      </c>
      <c r="G5" s="51" t="s">
        <v>48</v>
      </c>
      <c r="H5" s="50">
        <v>45059</v>
      </c>
      <c r="I5" s="5"/>
      <c r="J5" s="57">
        <v>300</v>
      </c>
      <c r="K5" s="49" t="s">
        <v>6</v>
      </c>
      <c r="L5" s="50">
        <v>45120</v>
      </c>
      <c r="M5" s="65"/>
      <c r="N5" s="80" t="s">
        <v>49</v>
      </c>
      <c r="O5" s="67"/>
      <c r="P5" s="81"/>
      <c r="Q5" s="65"/>
      <c r="R5" s="65"/>
      <c r="S5" s="65"/>
      <c r="T5" s="65"/>
      <c r="U5" s="65"/>
      <c r="V5" s="65"/>
    </row>
    <row r="6" spans="1:22" ht="18.5" x14ac:dyDescent="0.45">
      <c r="A6" s="1"/>
      <c r="B6" s="1"/>
      <c r="C6" s="1"/>
      <c r="D6" s="1"/>
      <c r="E6" s="1"/>
      <c r="F6" s="48">
        <v>500</v>
      </c>
      <c r="G6" s="49" t="s">
        <v>53</v>
      </c>
      <c r="H6" s="50">
        <v>45258</v>
      </c>
      <c r="I6" s="6"/>
      <c r="J6" s="57">
        <v>250</v>
      </c>
      <c r="K6" s="49" t="s">
        <v>53</v>
      </c>
      <c r="L6" s="50">
        <v>45284</v>
      </c>
      <c r="M6" s="65"/>
      <c r="N6" s="82" t="s">
        <v>50</v>
      </c>
      <c r="O6" s="83"/>
      <c r="P6" s="84">
        <f>SUM($F:$F)</f>
        <v>14100</v>
      </c>
      <c r="Q6" s="65"/>
      <c r="R6" s="65"/>
      <c r="S6" s="65"/>
      <c r="T6" s="65"/>
      <c r="U6" s="65"/>
      <c r="V6" s="65"/>
    </row>
    <row r="7" spans="1:22" ht="18.5" x14ac:dyDescent="0.45">
      <c r="A7" s="1"/>
      <c r="B7" s="1"/>
      <c r="C7" s="1"/>
      <c r="D7" s="1"/>
      <c r="E7" s="1"/>
      <c r="F7" s="48">
        <v>3000</v>
      </c>
      <c r="G7" s="49" t="s">
        <v>54</v>
      </c>
      <c r="H7" s="50">
        <v>45171</v>
      </c>
      <c r="I7" s="6"/>
      <c r="J7" s="57">
        <v>1000</v>
      </c>
      <c r="K7" s="49" t="s">
        <v>54</v>
      </c>
      <c r="L7" s="50">
        <v>45263</v>
      </c>
      <c r="M7" s="65"/>
      <c r="N7" s="82"/>
      <c r="O7" s="83"/>
      <c r="P7" s="85"/>
      <c r="Q7" s="65"/>
      <c r="R7" s="65"/>
      <c r="S7" s="65"/>
      <c r="T7" s="65"/>
      <c r="U7" s="65"/>
      <c r="V7" s="65"/>
    </row>
    <row r="8" spans="1:22" ht="18.5" x14ac:dyDescent="0.45">
      <c r="A8" s="1"/>
      <c r="B8" s="1"/>
      <c r="C8" s="1"/>
      <c r="D8" s="1"/>
      <c r="E8" s="1"/>
      <c r="F8" s="48">
        <v>3000</v>
      </c>
      <c r="G8" s="49" t="s">
        <v>6</v>
      </c>
      <c r="H8" s="50">
        <v>45171</v>
      </c>
      <c r="I8" s="6"/>
      <c r="J8" s="57">
        <v>100</v>
      </c>
      <c r="K8" s="49" t="s">
        <v>28</v>
      </c>
      <c r="L8" s="50">
        <v>45272</v>
      </c>
      <c r="M8" s="65"/>
      <c r="N8" s="82" t="s">
        <v>51</v>
      </c>
      <c r="O8" s="83"/>
      <c r="P8" s="85">
        <f>SUM($J:$J)</f>
        <v>5050</v>
      </c>
      <c r="Q8" s="65"/>
      <c r="R8" s="65"/>
      <c r="S8" s="65"/>
      <c r="T8" s="65"/>
      <c r="U8" s="65"/>
      <c r="V8" s="65"/>
    </row>
    <row r="9" spans="1:22" ht="18.5" x14ac:dyDescent="0.45">
      <c r="A9" s="1"/>
      <c r="B9" s="1"/>
      <c r="C9" s="1"/>
      <c r="D9" s="1"/>
      <c r="E9" s="1"/>
      <c r="F9" s="48">
        <v>200</v>
      </c>
      <c r="G9" s="49" t="s">
        <v>28</v>
      </c>
      <c r="H9" s="50">
        <v>45263</v>
      </c>
      <c r="I9" s="6"/>
      <c r="J9" s="58"/>
      <c r="K9" s="49"/>
      <c r="L9" s="59"/>
      <c r="M9" s="65"/>
      <c r="N9" s="82"/>
      <c r="O9" s="83"/>
      <c r="P9" s="85"/>
      <c r="Q9" s="65"/>
      <c r="R9" s="65"/>
      <c r="S9" s="65"/>
      <c r="T9" s="65"/>
      <c r="U9" s="65"/>
      <c r="V9" s="65"/>
    </row>
    <row r="10" spans="1:22" ht="18.5" x14ac:dyDescent="0.45">
      <c r="A10" s="1"/>
      <c r="B10" s="1"/>
      <c r="C10" s="1"/>
      <c r="D10" s="1"/>
      <c r="E10" s="1"/>
      <c r="F10" s="52"/>
      <c r="G10" s="49"/>
      <c r="H10" s="50"/>
      <c r="I10" s="6"/>
      <c r="J10" s="58"/>
      <c r="K10" s="49"/>
      <c r="L10" s="59"/>
      <c r="M10" s="65"/>
      <c r="N10" s="82" t="s">
        <v>52</v>
      </c>
      <c r="O10" s="83"/>
      <c r="P10" s="85">
        <f>$P$6-$P$8</f>
        <v>9050</v>
      </c>
      <c r="Q10" s="65"/>
      <c r="R10" s="65"/>
      <c r="S10" s="65"/>
      <c r="T10" s="65"/>
      <c r="U10" s="65"/>
      <c r="V10" s="65"/>
    </row>
    <row r="11" spans="1:22" x14ac:dyDescent="0.35">
      <c r="A11" s="1"/>
      <c r="B11" s="1"/>
      <c r="C11" s="1"/>
      <c r="D11" s="1"/>
      <c r="E11" s="1"/>
      <c r="F11" s="52"/>
      <c r="G11" s="49"/>
      <c r="H11" s="50"/>
      <c r="I11" s="6"/>
      <c r="J11" s="58"/>
      <c r="K11" s="49"/>
      <c r="L11" s="59"/>
      <c r="M11" s="65"/>
      <c r="N11" s="86"/>
      <c r="O11" s="1"/>
      <c r="P11" s="87"/>
      <c r="Q11" s="65"/>
      <c r="R11" s="65"/>
      <c r="S11" s="65"/>
      <c r="T11" s="65"/>
      <c r="U11" s="65"/>
      <c r="V11" s="65"/>
    </row>
    <row r="12" spans="1:22" ht="19" thickBot="1" x14ac:dyDescent="0.5">
      <c r="A12" s="1"/>
      <c r="B12" s="1"/>
      <c r="C12" s="1"/>
      <c r="D12" s="1"/>
      <c r="E12" s="1"/>
      <c r="F12" s="52"/>
      <c r="G12" s="49"/>
      <c r="H12" s="50"/>
      <c r="I12" s="6"/>
      <c r="J12" s="58"/>
      <c r="K12" s="49"/>
      <c r="L12" s="59"/>
      <c r="M12" s="65"/>
      <c r="N12" s="88" t="s">
        <v>55</v>
      </c>
      <c r="O12" s="68"/>
      <c r="P12" s="89">
        <f xml:space="preserve"> $P$8/$P$6</f>
        <v>0.35815602836879434</v>
      </c>
      <c r="Q12" s="65"/>
      <c r="R12" s="65"/>
      <c r="S12" s="65"/>
      <c r="T12" s="65"/>
      <c r="U12" s="65"/>
      <c r="V12" s="65"/>
    </row>
    <row r="13" spans="1:22" x14ac:dyDescent="0.35">
      <c r="A13" s="1"/>
      <c r="B13" s="2"/>
      <c r="C13" s="1"/>
      <c r="D13" s="1"/>
      <c r="E13" s="1"/>
      <c r="F13" s="52"/>
      <c r="G13" s="49"/>
      <c r="H13" s="50"/>
      <c r="I13" s="6"/>
      <c r="J13" s="58"/>
      <c r="K13" s="49"/>
      <c r="L13" s="59"/>
      <c r="M13" s="65"/>
      <c r="N13" s="65"/>
      <c r="O13" s="65"/>
      <c r="P13" s="65"/>
      <c r="Q13" s="65"/>
      <c r="R13" s="65"/>
      <c r="S13" s="65"/>
      <c r="T13" s="65"/>
      <c r="U13" s="65"/>
      <c r="V13" s="65"/>
    </row>
    <row r="14" spans="1:22" x14ac:dyDescent="0.35">
      <c r="A14" s="1"/>
      <c r="B14" s="1"/>
      <c r="C14" s="1"/>
      <c r="D14" s="1"/>
      <c r="E14" s="1"/>
      <c r="F14" s="52"/>
      <c r="G14" s="49"/>
      <c r="H14" s="50"/>
      <c r="I14" s="6"/>
      <c r="J14" s="58"/>
      <c r="K14" s="49"/>
      <c r="L14" s="59"/>
      <c r="M14" s="65"/>
      <c r="N14" s="65"/>
      <c r="O14" s="65"/>
      <c r="P14" s="65"/>
      <c r="Q14" s="65"/>
      <c r="R14" s="65"/>
      <c r="S14" s="65"/>
      <c r="T14" s="65"/>
      <c r="U14" s="65"/>
      <c r="V14" s="65"/>
    </row>
    <row r="15" spans="1:22" x14ac:dyDescent="0.35">
      <c r="A15" s="1"/>
      <c r="B15" s="1"/>
      <c r="C15" s="1"/>
      <c r="D15" s="1"/>
      <c r="E15" s="1"/>
      <c r="F15" s="52"/>
      <c r="G15" s="49"/>
      <c r="H15" s="50"/>
      <c r="I15" s="6"/>
      <c r="J15" s="58"/>
      <c r="K15" s="49"/>
      <c r="L15" s="59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"/>
      <c r="B16" s="1"/>
      <c r="C16" s="1"/>
      <c r="D16" s="1"/>
      <c r="E16" s="1"/>
      <c r="F16" s="52"/>
      <c r="G16" s="49"/>
      <c r="H16" s="50"/>
      <c r="I16" s="6"/>
      <c r="J16" s="58"/>
      <c r="K16" s="49"/>
      <c r="L16" s="59"/>
      <c r="M16" s="65"/>
      <c r="N16" s="65"/>
      <c r="O16" s="65"/>
      <c r="P16" s="65"/>
      <c r="Q16" s="65"/>
      <c r="R16" s="65"/>
      <c r="S16" s="65"/>
      <c r="T16" s="65"/>
      <c r="U16" s="65"/>
      <c r="V16" s="65"/>
    </row>
    <row r="17" spans="1:22" x14ac:dyDescent="0.35">
      <c r="A17" s="1"/>
      <c r="B17" s="1"/>
      <c r="C17" s="1"/>
      <c r="D17" s="1"/>
      <c r="E17" s="1"/>
      <c r="F17" s="52"/>
      <c r="G17" s="49"/>
      <c r="H17" s="50"/>
      <c r="I17" s="6"/>
      <c r="J17" s="58"/>
      <c r="K17" s="49"/>
      <c r="L17" s="59"/>
      <c r="M17" s="65"/>
      <c r="N17" s="65"/>
      <c r="O17" s="65"/>
      <c r="P17" s="65"/>
      <c r="Q17" s="65"/>
      <c r="R17" s="65"/>
      <c r="S17" s="65"/>
      <c r="T17" s="65"/>
      <c r="U17" s="65"/>
      <c r="V17" s="65"/>
    </row>
    <row r="18" spans="1:22" x14ac:dyDescent="0.35">
      <c r="A18" s="1"/>
      <c r="B18" s="1"/>
      <c r="C18" s="1"/>
      <c r="D18" s="1"/>
      <c r="E18" s="1"/>
      <c r="F18" s="52"/>
      <c r="G18" s="49"/>
      <c r="H18" s="50"/>
      <c r="I18" s="6"/>
      <c r="J18" s="58"/>
      <c r="K18" s="49"/>
      <c r="L18" s="59"/>
      <c r="M18" s="65"/>
      <c r="N18" s="65"/>
      <c r="O18" s="65"/>
      <c r="P18" s="65"/>
      <c r="Q18" s="65"/>
      <c r="R18" s="65"/>
      <c r="S18" s="65"/>
      <c r="T18" s="65"/>
      <c r="U18" s="65"/>
      <c r="V18" s="65"/>
    </row>
    <row r="19" spans="1:22" x14ac:dyDescent="0.35">
      <c r="A19" s="1"/>
      <c r="B19" s="1"/>
      <c r="C19" s="1"/>
      <c r="D19" s="1"/>
      <c r="E19" s="1"/>
      <c r="F19" s="52"/>
      <c r="G19" s="49"/>
      <c r="H19" s="50"/>
      <c r="I19" s="6"/>
      <c r="J19" s="58"/>
      <c r="K19" s="49"/>
      <c r="L19" s="59"/>
      <c r="M19" s="65"/>
      <c r="N19" s="65"/>
      <c r="O19" s="65"/>
      <c r="P19" s="65"/>
      <c r="Q19" s="65"/>
      <c r="R19" s="65"/>
      <c r="S19" s="65"/>
      <c r="T19" s="65"/>
      <c r="U19" s="65"/>
      <c r="V19" s="65"/>
    </row>
    <row r="20" spans="1:22" x14ac:dyDescent="0.35">
      <c r="A20" s="1"/>
      <c r="B20" s="1"/>
      <c r="C20" s="1"/>
      <c r="D20" s="1"/>
      <c r="E20" s="1"/>
      <c r="F20" s="52"/>
      <c r="G20" s="49"/>
      <c r="H20" s="50"/>
      <c r="I20" s="6"/>
      <c r="J20" s="58"/>
      <c r="K20" s="49"/>
      <c r="L20" s="59"/>
      <c r="M20" s="65"/>
      <c r="N20" s="65"/>
      <c r="O20" s="65"/>
      <c r="P20" s="65"/>
      <c r="Q20" s="65"/>
      <c r="R20" s="65"/>
      <c r="S20" s="65"/>
      <c r="T20" s="65"/>
      <c r="U20" s="65"/>
      <c r="V20" s="65"/>
    </row>
    <row r="21" spans="1:22" x14ac:dyDescent="0.35">
      <c r="A21" s="1"/>
      <c r="B21" s="1"/>
      <c r="C21" s="1"/>
      <c r="D21" s="1"/>
      <c r="E21" s="1"/>
      <c r="F21" s="52"/>
      <c r="G21" s="49"/>
      <c r="H21" s="50"/>
      <c r="I21" s="6"/>
      <c r="J21" s="58"/>
      <c r="K21" s="49"/>
      <c r="L21" s="59"/>
      <c r="M21" s="65"/>
      <c r="N21" s="65"/>
      <c r="O21" s="65"/>
      <c r="P21" s="65"/>
      <c r="Q21" s="65"/>
      <c r="R21" s="65"/>
      <c r="S21" s="65"/>
      <c r="T21" s="65"/>
      <c r="U21" s="65"/>
      <c r="V21" s="65"/>
    </row>
    <row r="22" spans="1:22" x14ac:dyDescent="0.35">
      <c r="A22" s="1"/>
      <c r="B22" s="1"/>
      <c r="C22" s="1"/>
      <c r="D22" s="1"/>
      <c r="E22" s="1"/>
      <c r="F22" s="52"/>
      <c r="G22" s="49"/>
      <c r="H22" s="50"/>
      <c r="I22" s="7"/>
      <c r="J22" s="60"/>
      <c r="K22" s="61"/>
      <c r="L22" s="62"/>
      <c r="M22" s="65"/>
      <c r="N22" s="65"/>
      <c r="O22" s="65"/>
      <c r="P22" s="65"/>
      <c r="Q22" s="65"/>
      <c r="R22" s="65"/>
      <c r="S22" s="65"/>
      <c r="T22" s="65"/>
      <c r="U22" s="65"/>
      <c r="V22" s="65"/>
    </row>
    <row r="23" spans="1:22" x14ac:dyDescent="0.35">
      <c r="A23" s="1"/>
      <c r="B23" s="1"/>
      <c r="C23" s="1"/>
      <c r="D23" s="1"/>
      <c r="E23" s="1"/>
      <c r="F23" s="52"/>
      <c r="G23" s="49"/>
      <c r="H23" s="50"/>
      <c r="I23" s="6"/>
      <c r="J23" s="58"/>
      <c r="K23" s="49"/>
      <c r="L23" s="59"/>
      <c r="M23" s="65"/>
      <c r="N23" s="65"/>
      <c r="O23" s="65"/>
      <c r="P23" s="65"/>
      <c r="Q23" s="65"/>
      <c r="R23" s="65"/>
      <c r="S23" s="65"/>
      <c r="T23" s="65"/>
      <c r="U23" s="65"/>
      <c r="V23" s="65"/>
    </row>
    <row r="24" spans="1:22" x14ac:dyDescent="0.35">
      <c r="A24" s="1"/>
      <c r="B24" s="1"/>
      <c r="C24" s="1"/>
      <c r="D24" s="1"/>
      <c r="E24" s="1"/>
      <c r="F24" s="52"/>
      <c r="G24" s="49"/>
      <c r="H24" s="50"/>
      <c r="I24" s="6"/>
      <c r="J24" s="58"/>
      <c r="K24" s="49"/>
      <c r="L24" s="59"/>
      <c r="M24" s="65"/>
      <c r="N24" s="65"/>
      <c r="O24" s="65"/>
      <c r="P24" s="65"/>
      <c r="Q24" s="65"/>
      <c r="R24" s="65"/>
      <c r="S24" s="65"/>
      <c r="T24" s="65"/>
      <c r="U24" s="65"/>
      <c r="V24" s="65"/>
    </row>
    <row r="25" spans="1:22" x14ac:dyDescent="0.35">
      <c r="A25" s="1"/>
      <c r="B25" s="1"/>
      <c r="C25" s="1"/>
      <c r="D25" s="1"/>
      <c r="E25" s="1"/>
      <c r="F25" s="52"/>
      <c r="G25" s="49"/>
      <c r="H25" s="50"/>
      <c r="I25" s="6"/>
      <c r="J25" s="58"/>
      <c r="K25" s="49"/>
      <c r="L25" s="59"/>
      <c r="M25" s="65"/>
      <c r="N25" s="65"/>
      <c r="O25" s="65"/>
      <c r="P25" s="65"/>
      <c r="Q25" s="65"/>
      <c r="R25" s="65"/>
      <c r="S25" s="65"/>
      <c r="T25" s="65"/>
      <c r="U25" s="65"/>
      <c r="V25" s="65"/>
    </row>
    <row r="26" spans="1:22" x14ac:dyDescent="0.35">
      <c r="A26" s="1"/>
      <c r="B26" s="1"/>
      <c r="C26" s="1"/>
      <c r="D26" s="1"/>
      <c r="E26" s="1"/>
      <c r="F26" s="52"/>
      <c r="G26" s="49"/>
      <c r="H26" s="50"/>
      <c r="I26" s="6"/>
      <c r="J26" s="58"/>
      <c r="K26" s="49"/>
      <c r="L26" s="59"/>
      <c r="M26" s="65"/>
      <c r="N26" s="65"/>
      <c r="O26" s="65"/>
      <c r="P26" s="65"/>
      <c r="Q26" s="65"/>
      <c r="R26" s="65"/>
      <c r="S26" s="65"/>
      <c r="T26" s="65"/>
      <c r="U26" s="65"/>
      <c r="V26" s="65"/>
    </row>
    <row r="27" spans="1:22" x14ac:dyDescent="0.35">
      <c r="A27" s="1"/>
      <c r="B27" s="1"/>
      <c r="C27" s="1"/>
      <c r="D27" s="1"/>
      <c r="E27" s="1"/>
      <c r="F27" s="52"/>
      <c r="G27" s="49"/>
      <c r="H27" s="50"/>
      <c r="I27" s="6"/>
      <c r="J27" s="58"/>
      <c r="K27" s="49"/>
      <c r="L27" s="59"/>
      <c r="M27" s="65"/>
      <c r="N27" s="65"/>
      <c r="O27" s="65"/>
      <c r="P27" s="65"/>
      <c r="Q27" s="65"/>
      <c r="R27" s="65"/>
      <c r="S27" s="65"/>
      <c r="T27" s="65"/>
      <c r="U27" s="65"/>
      <c r="V27" s="65"/>
    </row>
    <row r="28" spans="1:22" x14ac:dyDescent="0.35">
      <c r="A28" s="1"/>
      <c r="B28" s="1"/>
      <c r="C28" s="1"/>
      <c r="D28" s="1"/>
      <c r="E28" s="1"/>
      <c r="F28" s="52"/>
      <c r="G28" s="49"/>
      <c r="H28" s="50"/>
      <c r="I28" s="6"/>
      <c r="J28" s="58"/>
      <c r="K28" s="49"/>
      <c r="L28" s="59"/>
      <c r="M28" s="65"/>
      <c r="N28" s="65"/>
      <c r="O28" s="65"/>
      <c r="P28" s="65"/>
      <c r="Q28" s="65"/>
      <c r="R28" s="65"/>
      <c r="S28" s="65"/>
      <c r="T28" s="65"/>
      <c r="U28" s="65"/>
      <c r="V28" s="65"/>
    </row>
    <row r="29" spans="1:22" x14ac:dyDescent="0.35">
      <c r="A29" s="1"/>
      <c r="B29" s="1"/>
      <c r="C29" s="1"/>
      <c r="D29" s="1"/>
      <c r="E29" s="1"/>
      <c r="F29" s="52"/>
      <c r="G29" s="49"/>
      <c r="H29" s="50"/>
      <c r="I29" s="6"/>
      <c r="J29" s="58"/>
      <c r="K29" s="49"/>
      <c r="L29" s="59"/>
      <c r="M29" s="65"/>
      <c r="N29" s="65"/>
      <c r="O29" s="65"/>
      <c r="P29" s="65"/>
      <c r="Q29" s="65"/>
      <c r="R29" s="65"/>
      <c r="S29" s="65"/>
      <c r="T29" s="65"/>
      <c r="U29" s="65"/>
      <c r="V29" s="65"/>
    </row>
    <row r="30" spans="1:22" x14ac:dyDescent="0.35">
      <c r="A30" s="1"/>
      <c r="B30" s="1"/>
      <c r="C30" s="1"/>
      <c r="D30" s="1"/>
      <c r="E30" s="1"/>
      <c r="F30" s="52"/>
      <c r="G30" s="49"/>
      <c r="H30" s="50"/>
      <c r="I30" s="6"/>
      <c r="J30" s="58"/>
      <c r="K30" s="49"/>
      <c r="L30" s="59"/>
      <c r="M30" s="65"/>
      <c r="N30" s="65"/>
      <c r="O30" s="65"/>
      <c r="P30" s="65"/>
      <c r="Q30" s="65"/>
      <c r="R30" s="65"/>
      <c r="S30" s="65"/>
      <c r="T30" s="65"/>
      <c r="U30" s="65"/>
      <c r="V30" s="65"/>
    </row>
    <row r="31" spans="1:22" x14ac:dyDescent="0.35">
      <c r="A31" s="1"/>
      <c r="B31" s="1"/>
      <c r="C31" s="1"/>
      <c r="D31" s="1"/>
      <c r="E31" s="1"/>
      <c r="F31" s="52"/>
      <c r="G31" s="49"/>
      <c r="H31" s="50"/>
      <c r="I31" s="6"/>
      <c r="J31" s="58"/>
      <c r="K31" s="49"/>
      <c r="L31" s="59"/>
      <c r="M31" s="65"/>
      <c r="N31" s="65"/>
      <c r="O31" s="65"/>
      <c r="P31" s="65"/>
      <c r="Q31" s="65"/>
      <c r="R31" s="65"/>
      <c r="S31" s="65"/>
      <c r="T31" s="65"/>
      <c r="U31" s="65"/>
      <c r="V31" s="65"/>
    </row>
    <row r="32" spans="1:22" x14ac:dyDescent="0.35">
      <c r="A32" s="1"/>
      <c r="B32" s="1"/>
      <c r="C32" s="1"/>
      <c r="D32" s="1"/>
      <c r="E32" s="1"/>
      <c r="F32" s="52"/>
      <c r="G32" s="49"/>
      <c r="H32" s="50"/>
      <c r="I32" s="6"/>
      <c r="J32" s="58"/>
      <c r="K32" s="49"/>
      <c r="L32" s="59"/>
      <c r="M32" s="65"/>
      <c r="N32" s="65"/>
      <c r="O32" s="65"/>
      <c r="P32" s="65"/>
      <c r="Q32" s="65"/>
      <c r="R32" s="65"/>
      <c r="S32" s="65"/>
      <c r="T32" s="65"/>
      <c r="U32" s="65"/>
      <c r="V32" s="65"/>
    </row>
    <row r="33" spans="1:22" x14ac:dyDescent="0.35">
      <c r="A33" s="1"/>
      <c r="B33" s="1"/>
      <c r="C33" s="1"/>
      <c r="D33" s="1"/>
      <c r="E33" s="1"/>
      <c r="F33" s="52"/>
      <c r="G33" s="49"/>
      <c r="H33" s="50"/>
      <c r="I33" s="6"/>
      <c r="J33" s="58"/>
      <c r="K33" s="49"/>
      <c r="L33" s="59"/>
      <c r="M33" s="65"/>
      <c r="N33" s="65"/>
      <c r="O33" s="65"/>
      <c r="P33" s="65"/>
      <c r="Q33" s="65"/>
      <c r="R33" s="65"/>
      <c r="S33" s="65"/>
      <c r="T33" s="65"/>
      <c r="U33" s="65"/>
      <c r="V33" s="65"/>
    </row>
    <row r="34" spans="1:22" x14ac:dyDescent="0.35">
      <c r="A34" s="1"/>
      <c r="B34" s="1"/>
      <c r="C34" s="1"/>
      <c r="D34" s="1"/>
      <c r="E34" s="1"/>
      <c r="F34" s="52"/>
      <c r="G34" s="49"/>
      <c r="H34" s="50"/>
      <c r="I34" s="6"/>
      <c r="J34" s="58"/>
      <c r="K34" s="49"/>
      <c r="L34" s="59"/>
      <c r="M34" s="65"/>
      <c r="N34" s="65"/>
      <c r="O34" s="65"/>
      <c r="P34" s="65"/>
      <c r="Q34" s="65"/>
      <c r="R34" s="65"/>
      <c r="S34" s="65"/>
      <c r="T34" s="65"/>
      <c r="U34" s="65"/>
      <c r="V34" s="65"/>
    </row>
    <row r="35" spans="1:22" x14ac:dyDescent="0.35">
      <c r="A35" s="1"/>
      <c r="B35" s="1"/>
      <c r="C35" s="1"/>
      <c r="D35" s="1"/>
      <c r="E35" s="1"/>
      <c r="F35" s="52"/>
      <c r="G35" s="49"/>
      <c r="H35" s="50"/>
      <c r="I35" s="6"/>
      <c r="J35" s="58"/>
      <c r="K35" s="49"/>
      <c r="L35" s="59"/>
      <c r="M35" s="65"/>
      <c r="N35" s="65"/>
      <c r="O35" s="65"/>
      <c r="P35" s="65"/>
      <c r="Q35" s="65"/>
      <c r="R35" s="65"/>
      <c r="S35" s="65"/>
      <c r="T35" s="65"/>
      <c r="U35" s="65"/>
      <c r="V35" s="65"/>
    </row>
    <row r="36" spans="1:22" x14ac:dyDescent="0.35">
      <c r="A36" s="1"/>
      <c r="B36" s="1"/>
      <c r="C36" s="1"/>
      <c r="D36" s="1"/>
      <c r="E36" s="1"/>
      <c r="F36" s="52"/>
      <c r="G36" s="49"/>
      <c r="H36" s="50"/>
      <c r="I36" s="6"/>
      <c r="J36" s="58"/>
      <c r="K36" s="49"/>
      <c r="L36" s="59"/>
      <c r="M36" s="65"/>
      <c r="N36" s="65"/>
      <c r="O36" s="65"/>
      <c r="P36" s="65"/>
      <c r="Q36" s="65"/>
      <c r="R36" s="65"/>
      <c r="S36" s="65"/>
      <c r="T36" s="65"/>
      <c r="U36" s="65"/>
      <c r="V36" s="65"/>
    </row>
    <row r="37" spans="1:22" x14ac:dyDescent="0.35">
      <c r="A37" s="1"/>
      <c r="B37" s="1"/>
      <c r="C37" s="1"/>
      <c r="D37" s="1"/>
      <c r="E37" s="1"/>
      <c r="F37" s="52"/>
      <c r="G37" s="49"/>
      <c r="H37" s="50"/>
      <c r="I37" s="6"/>
      <c r="J37" s="58"/>
      <c r="K37" s="49"/>
      <c r="L37" s="59"/>
      <c r="M37" s="65"/>
      <c r="N37" s="65"/>
      <c r="O37" s="65"/>
      <c r="P37" s="65"/>
      <c r="Q37" s="65"/>
      <c r="R37" s="65"/>
      <c r="S37" s="65"/>
      <c r="T37" s="65"/>
      <c r="U37" s="65"/>
      <c r="V37" s="65"/>
    </row>
    <row r="38" spans="1:22" x14ac:dyDescent="0.35">
      <c r="A38" s="1"/>
      <c r="B38" s="1"/>
      <c r="C38" s="1"/>
      <c r="D38" s="1"/>
      <c r="E38" s="1"/>
      <c r="F38" s="52"/>
      <c r="G38" s="49"/>
      <c r="H38" s="50"/>
      <c r="I38" s="6"/>
      <c r="J38" s="58"/>
      <c r="K38" s="49"/>
      <c r="L38" s="59"/>
      <c r="M38" s="65"/>
      <c r="N38" s="65"/>
      <c r="O38" s="65"/>
      <c r="P38" s="65"/>
      <c r="Q38" s="65"/>
      <c r="R38" s="65"/>
      <c r="S38" s="65"/>
      <c r="T38" s="65"/>
      <c r="U38" s="65"/>
      <c r="V38" s="65"/>
    </row>
    <row r="39" spans="1:22" x14ac:dyDescent="0.35">
      <c r="A39" s="1"/>
      <c r="B39" s="1"/>
      <c r="C39" s="1"/>
      <c r="D39" s="1"/>
      <c r="E39" s="1"/>
      <c r="F39" s="52"/>
      <c r="G39" s="49"/>
      <c r="H39" s="50"/>
      <c r="I39" s="6"/>
      <c r="J39" s="58"/>
      <c r="K39" s="49"/>
      <c r="L39" s="59"/>
      <c r="M39" s="65"/>
      <c r="N39" s="65"/>
      <c r="O39" s="65"/>
      <c r="P39" s="65"/>
      <c r="Q39" s="65"/>
      <c r="R39" s="65"/>
      <c r="S39" s="65"/>
      <c r="T39" s="65"/>
      <c r="U39" s="65"/>
      <c r="V39" s="65"/>
    </row>
    <row r="40" spans="1:22" x14ac:dyDescent="0.35">
      <c r="A40" s="1"/>
      <c r="B40" s="1"/>
      <c r="C40" s="1"/>
      <c r="D40" s="1"/>
      <c r="E40" s="1"/>
      <c r="F40" s="52"/>
      <c r="G40" s="49"/>
      <c r="H40" s="50"/>
      <c r="I40" s="6"/>
      <c r="J40" s="58"/>
      <c r="K40" s="49"/>
      <c r="L40" s="59"/>
      <c r="M40" s="65"/>
      <c r="N40" s="65"/>
      <c r="O40" s="65"/>
      <c r="P40" s="65"/>
      <c r="Q40" s="65"/>
      <c r="R40" s="65"/>
      <c r="S40" s="65"/>
      <c r="T40" s="65"/>
      <c r="U40" s="65"/>
      <c r="V40" s="65"/>
    </row>
    <row r="41" spans="1:22" x14ac:dyDescent="0.35">
      <c r="A41" s="1"/>
      <c r="B41" s="1"/>
      <c r="C41" s="1"/>
      <c r="D41" s="1"/>
      <c r="E41" s="1"/>
      <c r="F41" s="52"/>
      <c r="G41" s="49"/>
      <c r="H41" s="50"/>
      <c r="I41" s="6"/>
      <c r="J41" s="58"/>
      <c r="K41" s="49"/>
      <c r="L41" s="59"/>
      <c r="M41" s="65"/>
      <c r="N41" s="65"/>
      <c r="O41" s="65"/>
      <c r="P41" s="65"/>
      <c r="Q41" s="65"/>
      <c r="R41" s="65"/>
      <c r="S41" s="65"/>
      <c r="T41" s="65"/>
      <c r="U41" s="65"/>
      <c r="V41" s="65"/>
    </row>
    <row r="42" spans="1:22" x14ac:dyDescent="0.35">
      <c r="A42" s="1"/>
      <c r="B42" s="1"/>
      <c r="C42" s="1"/>
      <c r="D42" s="1"/>
      <c r="E42" s="1"/>
      <c r="F42" s="52"/>
      <c r="G42" s="49"/>
      <c r="H42" s="50"/>
      <c r="I42" s="6"/>
      <c r="J42" s="58"/>
      <c r="K42" s="49"/>
      <c r="L42" s="59"/>
      <c r="M42" s="65"/>
      <c r="N42" s="65"/>
      <c r="O42" s="65"/>
      <c r="P42" s="65"/>
      <c r="Q42" s="65"/>
      <c r="R42" s="65"/>
      <c r="S42" s="65"/>
      <c r="T42" s="65"/>
      <c r="U42" s="65"/>
      <c r="V42" s="65"/>
    </row>
    <row r="43" spans="1:22" x14ac:dyDescent="0.35">
      <c r="A43" s="1"/>
      <c r="B43" s="1"/>
      <c r="C43" s="1"/>
      <c r="D43" s="1"/>
      <c r="E43" s="1"/>
      <c r="F43" s="52"/>
      <c r="G43" s="49"/>
      <c r="H43" s="50"/>
      <c r="I43" s="6"/>
      <c r="J43" s="58"/>
      <c r="K43" s="49"/>
      <c r="L43" s="59"/>
      <c r="M43" s="65"/>
      <c r="N43" s="65"/>
      <c r="O43" s="65"/>
      <c r="P43" s="65"/>
      <c r="Q43" s="65"/>
      <c r="R43" s="65"/>
      <c r="S43" s="65"/>
      <c r="T43" s="65"/>
      <c r="U43" s="65"/>
      <c r="V43" s="65"/>
    </row>
    <row r="44" spans="1:22" x14ac:dyDescent="0.35">
      <c r="A44" s="1"/>
      <c r="B44" s="1"/>
      <c r="C44" s="1"/>
      <c r="D44" s="1"/>
      <c r="E44" s="1"/>
      <c r="F44" s="52"/>
      <c r="G44" s="49"/>
      <c r="H44" s="50"/>
      <c r="I44" s="6"/>
      <c r="J44" s="58"/>
      <c r="K44" s="49"/>
      <c r="L44" s="59"/>
      <c r="M44" s="65"/>
      <c r="N44" s="65"/>
      <c r="O44" s="65"/>
      <c r="P44" s="65"/>
      <c r="Q44" s="65"/>
      <c r="R44" s="65"/>
      <c r="S44" s="65"/>
      <c r="T44" s="65"/>
      <c r="U44" s="65"/>
      <c r="V44" s="65"/>
    </row>
    <row r="45" spans="1:22" x14ac:dyDescent="0.35">
      <c r="A45" s="1"/>
      <c r="B45" s="1"/>
      <c r="C45" s="1"/>
      <c r="D45" s="1"/>
      <c r="E45" s="1"/>
      <c r="F45" s="52"/>
      <c r="G45" s="49"/>
      <c r="H45" s="50"/>
      <c r="I45" s="6"/>
      <c r="J45" s="58"/>
      <c r="K45" s="49"/>
      <c r="L45" s="59"/>
      <c r="M45" s="65"/>
      <c r="N45" s="65"/>
      <c r="O45" s="65"/>
      <c r="P45" s="65"/>
      <c r="Q45" s="65"/>
      <c r="R45" s="65"/>
      <c r="S45" s="65"/>
      <c r="T45" s="65"/>
      <c r="U45" s="65"/>
      <c r="V45" s="65"/>
    </row>
    <row r="46" spans="1:22" x14ac:dyDescent="0.35">
      <c r="A46" s="1"/>
      <c r="B46" s="1"/>
      <c r="C46" s="1"/>
      <c r="D46" s="1"/>
      <c r="E46" s="1"/>
      <c r="F46" s="52"/>
      <c r="G46" s="49"/>
      <c r="H46" s="50"/>
      <c r="I46" s="6"/>
      <c r="J46" s="58"/>
      <c r="K46" s="49"/>
      <c r="L46" s="59"/>
      <c r="M46" s="65"/>
      <c r="N46" s="65"/>
      <c r="O46" s="65"/>
      <c r="P46" s="65"/>
      <c r="Q46" s="65"/>
      <c r="R46" s="65"/>
      <c r="S46" s="65"/>
      <c r="T46" s="65"/>
      <c r="U46" s="65"/>
      <c r="V46" s="65"/>
    </row>
    <row r="47" spans="1:22" x14ac:dyDescent="0.35">
      <c r="A47" s="1"/>
      <c r="B47" s="1"/>
      <c r="C47" s="1"/>
      <c r="D47" s="1"/>
      <c r="E47" s="1"/>
      <c r="F47" s="52"/>
      <c r="G47" s="49"/>
      <c r="H47" s="50"/>
      <c r="I47" s="6"/>
      <c r="J47" s="58"/>
      <c r="K47" s="49"/>
      <c r="L47" s="59"/>
      <c r="M47" s="65"/>
      <c r="N47" s="65"/>
      <c r="O47" s="65"/>
      <c r="P47" s="65"/>
      <c r="Q47" s="65"/>
      <c r="R47" s="65"/>
      <c r="S47" s="65"/>
      <c r="T47" s="65"/>
      <c r="U47" s="65"/>
      <c r="V47" s="65"/>
    </row>
    <row r="48" spans="1:22" x14ac:dyDescent="0.35">
      <c r="A48" s="1"/>
      <c r="B48" s="1"/>
      <c r="C48" s="1"/>
      <c r="D48" s="1"/>
      <c r="E48" s="1"/>
      <c r="F48" s="52"/>
      <c r="G48" s="49"/>
      <c r="H48" s="50"/>
      <c r="I48" s="6"/>
      <c r="J48" s="58"/>
      <c r="K48" s="49"/>
      <c r="L48" s="59"/>
      <c r="M48" s="65"/>
      <c r="N48" s="65"/>
      <c r="O48" s="65"/>
      <c r="P48" s="65"/>
      <c r="Q48" s="65"/>
      <c r="R48" s="65"/>
      <c r="S48" s="65"/>
      <c r="T48" s="65"/>
      <c r="U48" s="65"/>
      <c r="V48" s="65"/>
    </row>
    <row r="49" spans="1:22" x14ac:dyDescent="0.35">
      <c r="A49" s="1"/>
      <c r="B49" s="1"/>
      <c r="C49" s="1"/>
      <c r="D49" s="1"/>
      <c r="E49" s="1"/>
      <c r="F49" s="52"/>
      <c r="G49" s="49"/>
      <c r="H49" s="50"/>
      <c r="I49" s="6"/>
      <c r="J49" s="58"/>
      <c r="K49" s="49"/>
      <c r="L49" s="59"/>
      <c r="M49" s="65"/>
      <c r="N49" s="65"/>
      <c r="O49" s="65"/>
      <c r="P49" s="65"/>
      <c r="Q49" s="65"/>
      <c r="R49" s="65"/>
      <c r="S49" s="65"/>
      <c r="T49" s="65"/>
      <c r="U49" s="65"/>
      <c r="V49" s="65"/>
    </row>
    <row r="50" spans="1:22" x14ac:dyDescent="0.35">
      <c r="A50" s="1"/>
      <c r="B50" s="1"/>
      <c r="C50" s="1"/>
      <c r="D50" s="1"/>
      <c r="E50" s="1"/>
      <c r="F50" s="52"/>
      <c r="G50" s="49"/>
      <c r="H50" s="50"/>
      <c r="I50" s="6"/>
      <c r="J50" s="58"/>
      <c r="K50" s="49"/>
      <c r="L50" s="59"/>
      <c r="M50" s="65"/>
      <c r="N50" s="65"/>
      <c r="O50" s="65"/>
      <c r="P50" s="65"/>
      <c r="Q50" s="65"/>
      <c r="R50" s="65"/>
      <c r="S50" s="65"/>
      <c r="T50" s="65"/>
      <c r="U50" s="65"/>
      <c r="V50" s="65"/>
    </row>
    <row r="51" spans="1:22" x14ac:dyDescent="0.35">
      <c r="A51" s="1"/>
      <c r="B51" s="1"/>
      <c r="C51" s="1"/>
      <c r="D51" s="1"/>
      <c r="E51" s="1"/>
      <c r="F51" s="52"/>
      <c r="G51" s="49"/>
      <c r="H51" s="50"/>
      <c r="I51" s="6"/>
      <c r="J51" s="58"/>
      <c r="K51" s="49"/>
      <c r="L51" s="59"/>
      <c r="M51" s="65"/>
      <c r="N51" s="65"/>
      <c r="O51" s="65"/>
      <c r="P51" s="65"/>
      <c r="Q51" s="65"/>
      <c r="R51" s="65"/>
      <c r="S51" s="65"/>
      <c r="T51" s="65"/>
      <c r="U51" s="65"/>
      <c r="V51" s="65"/>
    </row>
    <row r="52" spans="1:22" x14ac:dyDescent="0.35">
      <c r="A52" s="1"/>
      <c r="B52" s="1"/>
      <c r="C52" s="1"/>
      <c r="D52" s="1"/>
      <c r="E52" s="1"/>
      <c r="F52" s="52"/>
      <c r="G52" s="49"/>
      <c r="H52" s="50"/>
      <c r="I52" s="6"/>
      <c r="J52" s="58"/>
      <c r="K52" s="49"/>
      <c r="L52" s="59"/>
      <c r="M52" s="65"/>
      <c r="N52" s="65"/>
      <c r="O52" s="65"/>
      <c r="P52" s="65"/>
      <c r="Q52" s="65"/>
      <c r="R52" s="65"/>
      <c r="S52" s="65"/>
      <c r="T52" s="65"/>
      <c r="U52" s="65"/>
      <c r="V52" s="65"/>
    </row>
    <row r="53" spans="1:22" x14ac:dyDescent="0.35">
      <c r="A53" s="1"/>
      <c r="B53" s="1"/>
      <c r="C53" s="1"/>
      <c r="D53" s="1"/>
      <c r="E53" s="1"/>
      <c r="F53" s="52"/>
      <c r="G53" s="49"/>
      <c r="H53" s="50"/>
      <c r="I53" s="6"/>
      <c r="J53" s="58"/>
      <c r="K53" s="49"/>
      <c r="L53" s="59"/>
      <c r="M53" s="65"/>
      <c r="N53" s="65"/>
      <c r="O53" s="65"/>
      <c r="P53" s="65"/>
      <c r="Q53" s="65"/>
      <c r="R53" s="65"/>
      <c r="S53" s="65"/>
      <c r="T53" s="65"/>
      <c r="U53" s="65"/>
      <c r="V53" s="65"/>
    </row>
    <row r="54" spans="1:22" x14ac:dyDescent="0.35">
      <c r="A54" s="1"/>
      <c r="B54" s="1"/>
      <c r="C54" s="1"/>
      <c r="D54" s="1"/>
      <c r="E54" s="1"/>
      <c r="F54" s="52"/>
      <c r="G54" s="49"/>
      <c r="H54" s="50"/>
      <c r="I54" s="6"/>
      <c r="J54" s="58"/>
      <c r="K54" s="49"/>
      <c r="L54" s="59"/>
      <c r="M54" s="65"/>
      <c r="N54" s="65"/>
      <c r="O54" s="65"/>
      <c r="P54" s="65"/>
      <c r="Q54" s="65"/>
      <c r="R54" s="65"/>
      <c r="S54" s="65"/>
      <c r="T54" s="65"/>
      <c r="U54" s="65"/>
      <c r="V54" s="65"/>
    </row>
    <row r="55" spans="1:22" x14ac:dyDescent="0.35">
      <c r="A55" s="1"/>
      <c r="B55" s="1"/>
      <c r="C55" s="1"/>
      <c r="D55" s="1"/>
      <c r="E55" s="1"/>
      <c r="F55" s="52"/>
      <c r="G55" s="49"/>
      <c r="H55" s="50"/>
      <c r="I55" s="6"/>
      <c r="J55" s="58"/>
      <c r="K55" s="49"/>
      <c r="L55" s="59"/>
      <c r="M55" s="65"/>
      <c r="N55" s="65"/>
      <c r="O55" s="65"/>
      <c r="P55" s="65"/>
      <c r="Q55" s="65"/>
      <c r="R55" s="65"/>
      <c r="S55" s="65"/>
      <c r="T55" s="65"/>
      <c r="U55" s="65"/>
      <c r="V55" s="65"/>
    </row>
    <row r="56" spans="1:22" x14ac:dyDescent="0.35">
      <c r="A56" s="1"/>
      <c r="B56" s="1"/>
      <c r="C56" s="1"/>
      <c r="D56" s="1"/>
      <c r="E56" s="1"/>
      <c r="F56" s="52"/>
      <c r="G56" s="49"/>
      <c r="H56" s="50"/>
      <c r="I56" s="6"/>
      <c r="J56" s="58"/>
      <c r="K56" s="49"/>
      <c r="L56" s="59"/>
      <c r="M56" s="65"/>
      <c r="N56" s="65"/>
      <c r="O56" s="65"/>
      <c r="P56" s="65"/>
      <c r="Q56" s="65"/>
      <c r="R56" s="65"/>
      <c r="S56" s="65"/>
      <c r="T56" s="65"/>
      <c r="U56" s="65"/>
      <c r="V56" s="65"/>
    </row>
    <row r="57" spans="1:22" x14ac:dyDescent="0.35">
      <c r="A57" s="1"/>
      <c r="B57" s="1"/>
      <c r="C57" s="1"/>
      <c r="D57" s="1"/>
      <c r="E57" s="1"/>
      <c r="F57" s="52"/>
      <c r="G57" s="49"/>
      <c r="H57" s="50"/>
      <c r="I57" s="6"/>
      <c r="J57" s="58"/>
      <c r="K57" s="49"/>
      <c r="L57" s="59"/>
      <c r="M57" s="65"/>
      <c r="N57" s="65"/>
      <c r="O57" s="65"/>
      <c r="P57" s="65"/>
      <c r="Q57" s="65"/>
      <c r="R57" s="65"/>
      <c r="S57" s="65"/>
      <c r="T57" s="65"/>
      <c r="U57" s="65"/>
      <c r="V57" s="65"/>
    </row>
    <row r="58" spans="1:22" x14ac:dyDescent="0.35">
      <c r="A58" s="1"/>
      <c r="B58" s="1"/>
      <c r="C58" s="1"/>
      <c r="D58" s="1"/>
      <c r="E58" s="1"/>
      <c r="F58" s="52"/>
      <c r="G58" s="49"/>
      <c r="H58" s="50"/>
      <c r="I58" s="6"/>
      <c r="J58" s="58"/>
      <c r="K58" s="49"/>
      <c r="L58" s="59"/>
      <c r="M58" s="65"/>
      <c r="N58" s="65"/>
      <c r="O58" s="65"/>
      <c r="P58" s="65"/>
      <c r="Q58" s="65"/>
      <c r="R58" s="65"/>
      <c r="S58" s="65"/>
      <c r="T58" s="65"/>
      <c r="U58" s="65"/>
      <c r="V58" s="65"/>
    </row>
    <row r="59" spans="1:22" x14ac:dyDescent="0.35">
      <c r="A59" s="1"/>
      <c r="B59" s="1"/>
      <c r="C59" s="1"/>
      <c r="D59" s="1"/>
      <c r="E59" s="1"/>
      <c r="F59" s="52"/>
      <c r="G59" s="49"/>
      <c r="H59" s="50"/>
      <c r="I59" s="6"/>
      <c r="J59" s="58"/>
      <c r="K59" s="49"/>
      <c r="L59" s="59"/>
      <c r="M59" s="65"/>
      <c r="N59" s="65"/>
      <c r="O59" s="65"/>
      <c r="P59" s="65"/>
      <c r="Q59" s="65"/>
      <c r="R59" s="65"/>
      <c r="S59" s="65"/>
      <c r="T59" s="65"/>
      <c r="U59" s="65"/>
      <c r="V59" s="65"/>
    </row>
    <row r="60" spans="1:22" x14ac:dyDescent="0.35">
      <c r="A60" s="1"/>
      <c r="B60" s="1"/>
      <c r="C60" s="1"/>
      <c r="D60" s="1"/>
      <c r="E60" s="1"/>
      <c r="F60" s="53"/>
      <c r="G60" s="54"/>
      <c r="H60" s="55"/>
      <c r="I60" s="6"/>
      <c r="J60" s="58"/>
      <c r="K60" s="49"/>
      <c r="L60" s="59"/>
      <c r="M60" s="65"/>
      <c r="N60" s="65"/>
      <c r="O60" s="65"/>
      <c r="P60" s="65"/>
      <c r="Q60" s="65"/>
      <c r="R60" s="65"/>
      <c r="S60" s="65"/>
      <c r="T60" s="65"/>
      <c r="U60" s="65"/>
      <c r="V60" s="65"/>
    </row>
    <row r="61" spans="1:22" x14ac:dyDescent="0.35">
      <c r="A61" s="1"/>
      <c r="B61" s="1"/>
      <c r="C61" s="1"/>
      <c r="D61" s="1"/>
      <c r="E61" s="1"/>
      <c r="F61" s="43"/>
      <c r="G61" s="11"/>
      <c r="H61" s="41"/>
      <c r="I61" s="6"/>
      <c r="J61" s="58"/>
      <c r="K61" s="49"/>
      <c r="L61" s="59"/>
      <c r="M61" s="65"/>
      <c r="N61" s="65"/>
      <c r="O61" s="65"/>
      <c r="P61" s="65"/>
      <c r="Q61" s="65"/>
      <c r="R61" s="65"/>
      <c r="S61" s="65"/>
      <c r="T61" s="65"/>
      <c r="U61" s="65"/>
      <c r="V61" s="65"/>
    </row>
    <row r="62" spans="1:22" x14ac:dyDescent="0.35">
      <c r="A62" s="1"/>
      <c r="B62" s="1"/>
      <c r="C62" s="1"/>
      <c r="D62" s="1"/>
      <c r="E62" s="1"/>
      <c r="F62" s="43"/>
      <c r="G62" s="11"/>
      <c r="H62" s="41"/>
      <c r="I62" s="6"/>
      <c r="J62" s="58"/>
      <c r="K62" s="49"/>
      <c r="L62" s="59"/>
      <c r="M62" s="65"/>
      <c r="N62" s="65"/>
      <c r="O62" s="65"/>
      <c r="P62" s="65"/>
      <c r="Q62" s="65"/>
      <c r="R62" s="65"/>
      <c r="S62" s="65"/>
      <c r="T62" s="65"/>
      <c r="U62" s="65"/>
      <c r="V62" s="65"/>
    </row>
    <row r="63" spans="1:22" x14ac:dyDescent="0.35">
      <c r="A63" s="1"/>
      <c r="B63" s="1"/>
      <c r="C63" s="1"/>
      <c r="D63" s="1"/>
      <c r="E63" s="1"/>
      <c r="F63" s="43"/>
      <c r="G63" s="11"/>
      <c r="H63" s="41"/>
      <c r="I63" s="6"/>
      <c r="J63" s="58"/>
      <c r="K63" s="49"/>
      <c r="L63" s="59"/>
      <c r="M63" s="65"/>
      <c r="N63" s="65"/>
      <c r="O63" s="65"/>
      <c r="P63" s="65"/>
      <c r="Q63" s="65"/>
      <c r="R63" s="65"/>
      <c r="S63" s="65"/>
      <c r="T63" s="65"/>
      <c r="U63" s="65"/>
      <c r="V63" s="65"/>
    </row>
    <row r="64" spans="1:22" x14ac:dyDescent="0.35">
      <c r="A64" s="1"/>
      <c r="B64" s="1"/>
      <c r="C64" s="1"/>
      <c r="D64" s="1"/>
      <c r="E64" s="1"/>
      <c r="F64" s="43"/>
      <c r="G64" s="11"/>
      <c r="H64" s="41"/>
      <c r="I64" s="6"/>
      <c r="J64" s="58"/>
      <c r="K64" s="49"/>
      <c r="L64" s="59"/>
      <c r="M64" s="65"/>
      <c r="N64" s="65"/>
      <c r="O64" s="65"/>
      <c r="P64" s="65"/>
      <c r="Q64" s="65"/>
      <c r="R64" s="65"/>
      <c r="S64" s="65"/>
      <c r="T64" s="65"/>
      <c r="U64" s="65"/>
      <c r="V64" s="65"/>
    </row>
    <row r="65" spans="1:22" x14ac:dyDescent="0.35">
      <c r="A65" s="1"/>
      <c r="B65" s="1"/>
      <c r="C65" s="1"/>
      <c r="D65" s="1"/>
      <c r="E65" s="1"/>
      <c r="F65" s="43"/>
      <c r="G65" s="11"/>
      <c r="H65" s="41"/>
      <c r="I65" s="6"/>
      <c r="J65" s="58"/>
      <c r="K65" s="49"/>
      <c r="L65" s="59"/>
      <c r="M65" s="65"/>
      <c r="N65" s="65"/>
      <c r="O65" s="65"/>
      <c r="P65" s="65"/>
      <c r="Q65" s="65"/>
      <c r="R65" s="65"/>
      <c r="S65" s="65"/>
      <c r="T65" s="65"/>
      <c r="U65" s="65"/>
      <c r="V65" s="65"/>
    </row>
    <row r="66" spans="1:22" x14ac:dyDescent="0.35">
      <c r="A66" s="1"/>
      <c r="B66" s="1"/>
      <c r="C66" s="1"/>
      <c r="D66" s="1"/>
      <c r="E66" s="1"/>
      <c r="F66" s="43"/>
      <c r="G66" s="11"/>
      <c r="H66" s="41"/>
      <c r="I66" s="6"/>
      <c r="J66" s="58"/>
      <c r="K66" s="49"/>
      <c r="L66" s="59"/>
      <c r="M66" s="65"/>
      <c r="N66" s="65"/>
      <c r="O66" s="65"/>
      <c r="P66" s="65"/>
      <c r="Q66" s="65"/>
      <c r="R66" s="65"/>
      <c r="S66" s="65"/>
      <c r="T66" s="65"/>
      <c r="U66" s="65"/>
      <c r="V66" s="65"/>
    </row>
    <row r="67" spans="1:22" x14ac:dyDescent="0.35">
      <c r="A67" s="1"/>
      <c r="B67" s="1"/>
      <c r="C67" s="1"/>
      <c r="D67" s="1"/>
      <c r="E67" s="1"/>
      <c r="F67" s="44"/>
      <c r="G67" s="38"/>
      <c r="H67" s="42"/>
      <c r="I67" s="6"/>
      <c r="J67" s="63"/>
      <c r="K67" s="54"/>
      <c r="L67" s="64"/>
      <c r="M67" s="65"/>
      <c r="N67" s="65"/>
      <c r="O67" s="65"/>
      <c r="P67" s="65"/>
      <c r="Q67" s="65"/>
      <c r="R67" s="65"/>
      <c r="S67" s="65"/>
      <c r="T67" s="65"/>
      <c r="U67" s="65"/>
      <c r="V67" s="65"/>
    </row>
    <row r="68" spans="1:22" x14ac:dyDescent="0.35">
      <c r="F68" s="45"/>
      <c r="G68" s="38"/>
      <c r="H68" s="42"/>
    </row>
  </sheetData>
  <conditionalFormatting sqref="O6:P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{5CC8BD97-EFEB-4D05-9E6F-6EBE108602C4}</x14:id>
        </ext>
      </extLst>
    </cfRule>
  </conditionalFormatting>
  <conditionalFormatting sqref="N5:P12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{E350F2ED-F3EE-4D31-82AE-2A026F620026}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C8BD97-EFEB-4D05-9E6F-6EBE108602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O6:P12</xm:sqref>
        </x14:conditionalFormatting>
        <x14:conditionalFormatting xmlns:xm="http://schemas.microsoft.com/office/excel/2006/main">
          <x14:cfRule type="dataBar" id="{E350F2ED-F3EE-4D31-82AE-2A026F62002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N5:P12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61E0F-1AE7-46CE-986D-D2194CC6ACDD}">
  <sheetPr codeName="Sheet4"/>
  <dimension ref="A1:O59"/>
  <sheetViews>
    <sheetView zoomScale="85" zoomScaleNormal="85" workbookViewId="0">
      <selection activeCell="K8" sqref="K8"/>
    </sheetView>
  </sheetViews>
  <sheetFormatPr defaultRowHeight="14.5" x14ac:dyDescent="0.35"/>
  <cols>
    <col min="1" max="1" width="10.26953125" bestFit="1" customWidth="1"/>
    <col min="2" max="2" width="18.90625" bestFit="1" customWidth="1"/>
    <col min="6" max="6" width="16.26953125" bestFit="1" customWidth="1"/>
    <col min="7" max="7" width="10.81640625" bestFit="1" customWidth="1"/>
    <col min="8" max="8" width="25.1796875" bestFit="1" customWidth="1"/>
    <col min="9" max="9" width="17.90625" bestFit="1" customWidth="1"/>
    <col min="10" max="10" width="21.54296875" bestFit="1" customWidth="1"/>
    <col min="11" max="11" width="31.6328125" bestFit="1" customWidth="1"/>
    <col min="13" max="13" width="23.08984375" bestFit="1" customWidth="1"/>
    <col min="14" max="14" width="4" customWidth="1"/>
    <col min="15" max="15" width="10.54296875" bestFit="1" customWidth="1"/>
  </cols>
  <sheetData>
    <row r="1" spans="1:15" ht="21" x14ac:dyDescent="0.5">
      <c r="A1" s="1"/>
      <c r="B1" s="1"/>
      <c r="C1" s="1"/>
      <c r="D1" s="1"/>
      <c r="E1" s="2"/>
      <c r="F1" s="9" t="s">
        <v>16</v>
      </c>
      <c r="G1" s="9" t="s">
        <v>17</v>
      </c>
      <c r="H1" s="9" t="s">
        <v>18</v>
      </c>
      <c r="I1" s="9" t="s">
        <v>19</v>
      </c>
      <c r="J1" s="29" t="s">
        <v>5</v>
      </c>
      <c r="K1" t="s">
        <v>58</v>
      </c>
      <c r="M1" s="72" t="s">
        <v>59</v>
      </c>
      <c r="N1" s="66"/>
      <c r="O1" s="73"/>
    </row>
    <row r="2" spans="1:15" ht="18.5" x14ac:dyDescent="0.45">
      <c r="A2" s="1"/>
      <c r="B2" s="1"/>
      <c r="C2" s="1"/>
      <c r="D2" s="1"/>
      <c r="E2" s="1"/>
      <c r="F2" s="13">
        <v>1</v>
      </c>
      <c r="G2" s="10">
        <v>31000</v>
      </c>
      <c r="H2" s="10"/>
      <c r="I2" s="13"/>
      <c r="J2" s="30" t="s">
        <v>6</v>
      </c>
      <c r="K2">
        <v>5000</v>
      </c>
      <c r="M2" s="75" t="s">
        <v>62</v>
      </c>
      <c r="N2" s="69"/>
      <c r="O2" s="77">
        <f>SUM($G:$G)</f>
        <v>31000</v>
      </c>
    </row>
    <row r="3" spans="1:15" ht="18.5" x14ac:dyDescent="0.45">
      <c r="A3" s="1"/>
      <c r="B3" s="1"/>
      <c r="C3" s="1"/>
      <c r="D3" s="1"/>
      <c r="E3" s="1"/>
      <c r="F3" s="13">
        <v>1</v>
      </c>
      <c r="G3" s="10"/>
      <c r="H3" s="10">
        <v>9000</v>
      </c>
      <c r="I3" s="13" t="s">
        <v>7</v>
      </c>
      <c r="J3" s="30" t="s">
        <v>8</v>
      </c>
      <c r="K3">
        <v>1500</v>
      </c>
      <c r="M3" s="75" t="s">
        <v>60</v>
      </c>
      <c r="N3" s="69"/>
      <c r="O3" s="78">
        <f>SUM($H:$H)</f>
        <v>17500</v>
      </c>
    </row>
    <row r="4" spans="1:15" ht="18.5" x14ac:dyDescent="0.45">
      <c r="A4" s="1"/>
      <c r="B4" s="1"/>
      <c r="C4" s="1"/>
      <c r="D4" s="1"/>
      <c r="E4" s="1"/>
      <c r="F4" s="13">
        <v>1</v>
      </c>
      <c r="G4" s="10"/>
      <c r="H4" s="10">
        <v>5000</v>
      </c>
      <c r="I4" s="13" t="s">
        <v>6</v>
      </c>
      <c r="J4" s="30" t="s">
        <v>7</v>
      </c>
      <c r="K4">
        <v>9000</v>
      </c>
      <c r="M4" s="75" t="s">
        <v>66</v>
      </c>
      <c r="N4" s="69"/>
      <c r="O4" s="78">
        <f>$O$2-$O$3</f>
        <v>13500</v>
      </c>
    </row>
    <row r="5" spans="1:15" ht="15.5" x14ac:dyDescent="0.35">
      <c r="A5" s="1"/>
      <c r="B5" s="1"/>
      <c r="C5" s="1"/>
      <c r="D5" s="1"/>
      <c r="E5" s="1"/>
      <c r="F5" s="13">
        <v>1</v>
      </c>
      <c r="G5" s="13"/>
      <c r="H5" s="10">
        <v>2000</v>
      </c>
      <c r="I5" s="13" t="s">
        <v>9</v>
      </c>
      <c r="J5" s="30" t="s">
        <v>9</v>
      </c>
      <c r="K5">
        <v>2000</v>
      </c>
      <c r="M5" s="76" t="s">
        <v>61</v>
      </c>
      <c r="N5" s="74"/>
      <c r="O5" s="79">
        <f>$O$3/$O$2</f>
        <v>0.56451612903225812</v>
      </c>
    </row>
    <row r="6" spans="1:15" x14ac:dyDescent="0.35">
      <c r="A6" s="1"/>
      <c r="B6" s="1"/>
      <c r="C6" s="1"/>
      <c r="D6" s="1"/>
      <c r="E6" s="1"/>
      <c r="F6" s="13">
        <v>1</v>
      </c>
      <c r="G6" s="13"/>
      <c r="H6" s="10">
        <v>1000</v>
      </c>
      <c r="I6" s="13" t="s">
        <v>8</v>
      </c>
      <c r="J6" s="30" t="s">
        <v>34</v>
      </c>
      <c r="K6" s="24">
        <v>17500</v>
      </c>
    </row>
    <row r="7" spans="1:15" x14ac:dyDescent="0.35">
      <c r="A7" s="1"/>
      <c r="B7" s="1"/>
      <c r="C7" s="1"/>
      <c r="D7" s="1"/>
      <c r="E7" s="1"/>
      <c r="F7" s="13">
        <v>1</v>
      </c>
      <c r="G7" s="13"/>
      <c r="H7" s="10">
        <v>500</v>
      </c>
      <c r="I7" s="13" t="s">
        <v>8</v>
      </c>
      <c r="M7" s="71"/>
    </row>
    <row r="8" spans="1:15" x14ac:dyDescent="0.35">
      <c r="A8" s="1"/>
      <c r="B8" s="1"/>
      <c r="C8" s="1"/>
      <c r="D8" s="1"/>
      <c r="E8" s="1"/>
      <c r="F8" s="13"/>
      <c r="G8" s="13"/>
      <c r="H8" s="13"/>
      <c r="I8" s="13"/>
    </row>
    <row r="9" spans="1:15" x14ac:dyDescent="0.35">
      <c r="A9" s="1"/>
      <c r="B9" s="1"/>
      <c r="C9" s="1"/>
      <c r="D9" s="1"/>
      <c r="E9" s="1"/>
      <c r="F9" s="13"/>
      <c r="G9" s="13"/>
      <c r="H9" s="13"/>
      <c r="I9" s="13"/>
    </row>
    <row r="10" spans="1:15" x14ac:dyDescent="0.35">
      <c r="A10" s="1"/>
      <c r="B10" s="1"/>
      <c r="C10" s="1"/>
      <c r="D10" s="1"/>
      <c r="E10" s="1"/>
      <c r="F10" s="13"/>
      <c r="G10" s="13"/>
      <c r="H10" s="13"/>
      <c r="I10" s="13"/>
    </row>
    <row r="11" spans="1:15" x14ac:dyDescent="0.35">
      <c r="A11" s="1"/>
      <c r="B11" s="1"/>
      <c r="C11" s="1"/>
      <c r="D11" s="1"/>
      <c r="E11" s="1"/>
      <c r="F11" s="13"/>
      <c r="G11" s="13"/>
      <c r="H11" s="13"/>
      <c r="I11" s="13"/>
    </row>
    <row r="12" spans="1:15" x14ac:dyDescent="0.35">
      <c r="A12" s="1"/>
      <c r="B12" s="1"/>
      <c r="C12" s="1"/>
      <c r="D12" s="1"/>
      <c r="E12" s="1"/>
      <c r="F12" s="13"/>
      <c r="G12" s="13"/>
      <c r="H12" s="13"/>
      <c r="I12" s="13"/>
    </row>
    <row r="13" spans="1:15" x14ac:dyDescent="0.35">
      <c r="A13" s="1"/>
      <c r="B13" s="1"/>
      <c r="C13" s="1"/>
      <c r="D13" s="1"/>
      <c r="E13" s="1"/>
      <c r="F13" s="13"/>
      <c r="G13" s="13"/>
      <c r="H13" s="13"/>
      <c r="I13" s="13"/>
    </row>
    <row r="14" spans="1:15" x14ac:dyDescent="0.35">
      <c r="A14" s="33" t="s">
        <v>4</v>
      </c>
      <c r="B14" s="18" t="s">
        <v>5</v>
      </c>
      <c r="C14" s="1"/>
      <c r="D14" s="1"/>
      <c r="E14" s="1"/>
      <c r="F14" s="13"/>
      <c r="G14" s="13"/>
      <c r="H14" s="13"/>
      <c r="I14" s="13"/>
    </row>
    <row r="15" spans="1:15" x14ac:dyDescent="0.35">
      <c r="A15" s="34">
        <v>1</v>
      </c>
      <c r="B15" s="17" t="s">
        <v>6</v>
      </c>
      <c r="C15" s="1"/>
      <c r="D15" s="1"/>
      <c r="E15" s="1"/>
      <c r="F15" s="13"/>
      <c r="G15" s="13"/>
      <c r="H15" s="13"/>
      <c r="I15" s="13"/>
    </row>
    <row r="16" spans="1:15" x14ac:dyDescent="0.35">
      <c r="A16" s="34">
        <v>2</v>
      </c>
      <c r="B16" s="17" t="s">
        <v>7</v>
      </c>
      <c r="C16" s="1"/>
      <c r="D16" s="1"/>
      <c r="E16" s="1"/>
      <c r="F16" s="13"/>
      <c r="G16" s="13"/>
      <c r="H16" s="13"/>
      <c r="I16" s="13"/>
    </row>
    <row r="17" spans="1:9" x14ac:dyDescent="0.35">
      <c r="A17" s="34">
        <v>3</v>
      </c>
      <c r="B17" s="17" t="s">
        <v>8</v>
      </c>
      <c r="C17" s="1"/>
      <c r="D17" s="1"/>
      <c r="E17" s="1"/>
      <c r="F17" s="13"/>
      <c r="G17" s="13"/>
      <c r="H17" s="13"/>
      <c r="I17" s="13"/>
    </row>
    <row r="18" spans="1:9" x14ac:dyDescent="0.35">
      <c r="A18" s="34">
        <v>4</v>
      </c>
      <c r="B18" s="17" t="s">
        <v>9</v>
      </c>
      <c r="C18" s="1"/>
      <c r="D18" s="1"/>
      <c r="E18" s="1"/>
      <c r="F18" s="13"/>
      <c r="G18" s="13"/>
      <c r="H18" s="13"/>
      <c r="I18" s="13"/>
    </row>
    <row r="19" spans="1:9" x14ac:dyDescent="0.35">
      <c r="A19" s="34">
        <v>5</v>
      </c>
      <c r="B19" s="17" t="s">
        <v>10</v>
      </c>
      <c r="C19" s="1"/>
      <c r="D19" s="1"/>
      <c r="E19" s="1"/>
      <c r="F19" s="13"/>
      <c r="G19" s="13"/>
      <c r="H19" s="13"/>
      <c r="I19" s="13"/>
    </row>
    <row r="20" spans="1:9" x14ac:dyDescent="0.35">
      <c r="A20" s="1"/>
      <c r="B20" s="1"/>
      <c r="C20" s="1"/>
      <c r="D20" s="1"/>
      <c r="E20" s="1"/>
      <c r="F20" s="13"/>
      <c r="G20" s="13"/>
      <c r="H20" s="13"/>
      <c r="I20" s="13"/>
    </row>
    <row r="21" spans="1:9" x14ac:dyDescent="0.35">
      <c r="A21" s="1"/>
      <c r="B21" s="1"/>
      <c r="C21" s="1"/>
      <c r="D21" s="1"/>
      <c r="E21" s="1"/>
      <c r="F21" s="13"/>
      <c r="G21" s="13"/>
      <c r="H21" s="13"/>
      <c r="I21" s="13"/>
    </row>
    <row r="22" spans="1:9" x14ac:dyDescent="0.35">
      <c r="A22" s="1"/>
      <c r="B22" s="1"/>
      <c r="C22" s="1"/>
      <c r="D22" s="1"/>
      <c r="E22" s="1"/>
      <c r="F22" s="13"/>
      <c r="G22" s="13"/>
      <c r="H22" s="13"/>
      <c r="I22" s="13"/>
    </row>
    <row r="23" spans="1:9" x14ac:dyDescent="0.35">
      <c r="A23" s="1"/>
      <c r="B23" s="1"/>
      <c r="C23" s="1"/>
      <c r="D23" s="1"/>
      <c r="E23" s="1"/>
      <c r="F23" s="13"/>
      <c r="G23" s="13"/>
      <c r="H23" s="13"/>
      <c r="I23" s="13"/>
    </row>
    <row r="24" spans="1:9" x14ac:dyDescent="0.35">
      <c r="A24" s="1"/>
      <c r="B24" s="1"/>
      <c r="C24" s="1"/>
      <c r="D24" s="1"/>
      <c r="E24" s="1"/>
      <c r="F24" s="13"/>
      <c r="G24" s="13"/>
      <c r="H24" s="13"/>
      <c r="I24" s="13"/>
    </row>
    <row r="25" spans="1:9" x14ac:dyDescent="0.35">
      <c r="A25" s="1"/>
      <c r="B25" s="1"/>
      <c r="C25" s="1"/>
      <c r="D25" s="1"/>
      <c r="E25" s="1"/>
      <c r="F25" s="13"/>
      <c r="G25" s="13"/>
      <c r="H25" s="13"/>
      <c r="I25" s="13"/>
    </row>
    <row r="26" spans="1:9" x14ac:dyDescent="0.35">
      <c r="A26" s="1"/>
      <c r="B26" s="1"/>
      <c r="C26" s="1"/>
      <c r="D26" s="1"/>
      <c r="E26" s="1"/>
      <c r="F26" s="13"/>
      <c r="G26" s="13"/>
      <c r="H26" s="13"/>
      <c r="I26" s="13"/>
    </row>
    <row r="27" spans="1:9" x14ac:dyDescent="0.35">
      <c r="A27" s="1"/>
      <c r="B27" s="1"/>
      <c r="C27" s="1"/>
      <c r="D27" s="1"/>
      <c r="E27" s="1"/>
      <c r="F27" s="13"/>
      <c r="G27" s="13"/>
      <c r="H27" s="13"/>
      <c r="I27" s="13"/>
    </row>
    <row r="28" spans="1:9" x14ac:dyDescent="0.35">
      <c r="A28" s="1"/>
      <c r="B28" s="1"/>
      <c r="C28" s="1"/>
      <c r="D28" s="1"/>
      <c r="E28" s="1"/>
      <c r="F28" s="13"/>
      <c r="G28" s="13"/>
      <c r="H28" s="13"/>
      <c r="I28" s="13"/>
    </row>
    <row r="29" spans="1:9" x14ac:dyDescent="0.35">
      <c r="A29" s="1"/>
      <c r="B29" s="1"/>
      <c r="C29" s="1"/>
      <c r="D29" s="1"/>
      <c r="E29" s="1"/>
      <c r="F29" s="13"/>
      <c r="G29" s="13"/>
      <c r="H29" s="13"/>
      <c r="I29" s="13"/>
    </row>
    <row r="30" spans="1:9" x14ac:dyDescent="0.35">
      <c r="A30" s="1"/>
      <c r="B30" s="1"/>
      <c r="C30" s="1"/>
      <c r="D30" s="1"/>
      <c r="E30" s="1"/>
      <c r="F30" s="13"/>
      <c r="G30" s="13"/>
      <c r="H30" s="13"/>
      <c r="I30" s="13"/>
    </row>
    <row r="31" spans="1:9" x14ac:dyDescent="0.35">
      <c r="A31" s="1"/>
      <c r="B31" s="1"/>
      <c r="C31" s="1"/>
      <c r="D31" s="1"/>
      <c r="E31" s="1"/>
      <c r="F31" s="13"/>
      <c r="G31" s="13"/>
      <c r="H31" s="13"/>
      <c r="I31" s="13"/>
    </row>
    <row r="32" spans="1:9" x14ac:dyDescent="0.35">
      <c r="A32" s="1"/>
      <c r="B32" s="1"/>
      <c r="C32" s="1"/>
      <c r="D32" s="1"/>
      <c r="E32" s="1"/>
      <c r="F32" s="13"/>
      <c r="G32" s="13"/>
      <c r="H32" s="13"/>
      <c r="I32" s="13"/>
    </row>
    <row r="33" spans="1:9" x14ac:dyDescent="0.35">
      <c r="A33" s="1"/>
      <c r="B33" s="1"/>
      <c r="C33" s="1"/>
      <c r="D33" s="1"/>
      <c r="E33" s="1"/>
      <c r="F33" s="13"/>
      <c r="G33" s="13"/>
      <c r="H33" s="13"/>
      <c r="I33" s="13"/>
    </row>
    <row r="34" spans="1:9" x14ac:dyDescent="0.35">
      <c r="A34" s="1"/>
      <c r="B34" s="1"/>
      <c r="C34" s="1"/>
      <c r="D34" s="1"/>
      <c r="E34" s="1"/>
      <c r="F34" s="13"/>
      <c r="G34" s="13"/>
      <c r="H34" s="13"/>
      <c r="I34" s="13"/>
    </row>
    <row r="35" spans="1:9" x14ac:dyDescent="0.35">
      <c r="A35" s="1"/>
      <c r="B35" s="1"/>
      <c r="C35" s="1"/>
      <c r="D35" s="1"/>
      <c r="E35" s="1"/>
      <c r="F35" s="13"/>
      <c r="G35" s="13"/>
      <c r="H35" s="13"/>
      <c r="I35" s="13"/>
    </row>
    <row r="36" spans="1:9" x14ac:dyDescent="0.35">
      <c r="A36" s="1"/>
      <c r="B36" s="1"/>
      <c r="C36" s="1"/>
      <c r="D36" s="1"/>
      <c r="E36" s="1"/>
      <c r="F36" s="13"/>
      <c r="G36" s="13"/>
      <c r="H36" s="13"/>
      <c r="I36" s="13"/>
    </row>
    <row r="37" spans="1:9" x14ac:dyDescent="0.35">
      <c r="A37" s="1"/>
      <c r="B37" s="1"/>
      <c r="C37" s="1"/>
      <c r="D37" s="1"/>
      <c r="E37" s="1"/>
      <c r="F37" s="13"/>
      <c r="G37" s="13"/>
      <c r="H37" s="13"/>
      <c r="I37" s="13"/>
    </row>
    <row r="38" spans="1:9" x14ac:dyDescent="0.35">
      <c r="A38" s="1"/>
      <c r="B38" s="1"/>
      <c r="C38" s="1"/>
      <c r="D38" s="1"/>
      <c r="E38" s="1"/>
      <c r="F38" s="13"/>
      <c r="G38" s="13"/>
      <c r="H38" s="13"/>
      <c r="I38" s="13"/>
    </row>
    <row r="39" spans="1:9" x14ac:dyDescent="0.35">
      <c r="A39" s="1"/>
      <c r="B39" s="1"/>
      <c r="C39" s="1"/>
      <c r="D39" s="1"/>
      <c r="E39" s="1"/>
      <c r="F39" s="13"/>
      <c r="G39" s="13"/>
      <c r="H39" s="13"/>
      <c r="I39" s="13"/>
    </row>
    <row r="40" spans="1:9" x14ac:dyDescent="0.35">
      <c r="A40" s="1"/>
      <c r="B40" s="1"/>
      <c r="C40" s="1"/>
      <c r="D40" s="1"/>
      <c r="E40" s="1"/>
      <c r="F40" s="13"/>
      <c r="G40" s="13"/>
      <c r="H40" s="13"/>
      <c r="I40" s="13"/>
    </row>
    <row r="41" spans="1:9" x14ac:dyDescent="0.35">
      <c r="A41" s="1"/>
      <c r="B41" s="1"/>
      <c r="C41" s="1"/>
      <c r="D41" s="1"/>
      <c r="E41" s="1"/>
      <c r="F41" s="13"/>
      <c r="G41" s="13"/>
      <c r="H41" s="13"/>
      <c r="I41" s="13"/>
    </row>
    <row r="42" spans="1:9" x14ac:dyDescent="0.35">
      <c r="A42" s="1"/>
      <c r="B42" s="1"/>
      <c r="C42" s="1"/>
      <c r="D42" s="1"/>
      <c r="E42" s="1"/>
      <c r="F42" s="13"/>
      <c r="G42" s="13"/>
      <c r="H42" s="13"/>
      <c r="I42" s="13"/>
    </row>
    <row r="43" spans="1:9" x14ac:dyDescent="0.35">
      <c r="A43" s="1"/>
      <c r="B43" s="1"/>
      <c r="C43" s="1"/>
      <c r="D43" s="1"/>
      <c r="E43" s="1"/>
      <c r="F43" s="13"/>
      <c r="G43" s="13"/>
      <c r="H43" s="13"/>
      <c r="I43" s="13"/>
    </row>
    <row r="44" spans="1:9" x14ac:dyDescent="0.35">
      <c r="A44" s="1"/>
      <c r="B44" s="1"/>
      <c r="C44" s="1"/>
      <c r="D44" s="1"/>
      <c r="E44" s="1"/>
      <c r="F44" s="13"/>
      <c r="G44" s="13"/>
      <c r="H44" s="13"/>
      <c r="I44" s="13"/>
    </row>
    <row r="45" spans="1:9" x14ac:dyDescent="0.35">
      <c r="A45" s="1"/>
      <c r="B45" s="1"/>
      <c r="C45" s="1"/>
      <c r="D45" s="1"/>
      <c r="E45" s="1"/>
      <c r="F45" s="13"/>
      <c r="G45" s="13"/>
      <c r="H45" s="13"/>
      <c r="I45" s="13"/>
    </row>
    <row r="46" spans="1:9" x14ac:dyDescent="0.35">
      <c r="A46" s="1"/>
      <c r="B46" s="1"/>
      <c r="C46" s="1"/>
      <c r="D46" s="1"/>
      <c r="E46" s="1"/>
      <c r="F46" s="13"/>
      <c r="G46" s="13"/>
      <c r="H46" s="13"/>
      <c r="I46" s="13"/>
    </row>
    <row r="47" spans="1:9" x14ac:dyDescent="0.35">
      <c r="A47" s="1"/>
      <c r="B47" s="1"/>
      <c r="C47" s="1"/>
      <c r="D47" s="1"/>
      <c r="E47" s="1"/>
      <c r="F47" s="13"/>
      <c r="G47" s="13"/>
      <c r="H47" s="13"/>
      <c r="I47" s="13"/>
    </row>
    <row r="48" spans="1:9" x14ac:dyDescent="0.35">
      <c r="A48" s="1"/>
      <c r="B48" s="1"/>
      <c r="C48" s="1"/>
      <c r="D48" s="1"/>
      <c r="E48" s="1"/>
      <c r="F48" s="13"/>
      <c r="G48" s="13"/>
      <c r="H48" s="13"/>
      <c r="I48" s="13"/>
    </row>
    <row r="49" spans="1:9" x14ac:dyDescent="0.35">
      <c r="A49" s="1"/>
      <c r="B49" s="1"/>
      <c r="C49" s="1"/>
      <c r="D49" s="1"/>
      <c r="E49" s="1"/>
      <c r="F49" s="13"/>
      <c r="G49" s="13"/>
      <c r="H49" s="13"/>
      <c r="I49" s="13"/>
    </row>
    <row r="50" spans="1:9" x14ac:dyDescent="0.35">
      <c r="A50" s="1"/>
      <c r="B50" s="1"/>
      <c r="C50" s="1"/>
      <c r="D50" s="1"/>
      <c r="E50" s="1"/>
      <c r="F50" s="13"/>
      <c r="G50" s="13"/>
      <c r="H50" s="13"/>
      <c r="I50" s="13"/>
    </row>
    <row r="51" spans="1:9" x14ac:dyDescent="0.35">
      <c r="A51" s="1"/>
      <c r="B51" s="1"/>
      <c r="C51" s="1"/>
      <c r="D51" s="1"/>
      <c r="E51" s="1"/>
      <c r="F51" s="13"/>
      <c r="G51" s="13"/>
      <c r="H51" s="13"/>
      <c r="I51" s="13"/>
    </row>
    <row r="52" spans="1:9" x14ac:dyDescent="0.35">
      <c r="A52" s="1"/>
      <c r="B52" s="1"/>
      <c r="C52" s="1"/>
      <c r="D52" s="1"/>
      <c r="E52" s="1"/>
      <c r="F52" s="13"/>
      <c r="G52" s="13"/>
      <c r="H52" s="13"/>
      <c r="I52" s="13"/>
    </row>
    <row r="53" spans="1:9" x14ac:dyDescent="0.35">
      <c r="A53" s="1"/>
      <c r="B53" s="1"/>
      <c r="C53" s="1"/>
      <c r="D53" s="1"/>
      <c r="E53" s="1"/>
      <c r="F53" s="13"/>
      <c r="G53" s="13"/>
      <c r="H53" s="13"/>
      <c r="I53" s="13"/>
    </row>
    <row r="54" spans="1:9" x14ac:dyDescent="0.35">
      <c r="A54" s="1"/>
      <c r="B54" s="1"/>
      <c r="C54" s="1"/>
      <c r="D54" s="1"/>
      <c r="E54" s="1"/>
      <c r="F54" s="13"/>
      <c r="G54" s="13"/>
      <c r="H54" s="13"/>
      <c r="I54" s="13"/>
    </row>
    <row r="55" spans="1:9" x14ac:dyDescent="0.35">
      <c r="A55" s="1"/>
      <c r="B55" s="1"/>
      <c r="C55" s="1"/>
      <c r="D55" s="1"/>
      <c r="E55" s="1"/>
      <c r="F55" s="13"/>
      <c r="G55" s="13"/>
      <c r="H55" s="13"/>
      <c r="I55" s="13"/>
    </row>
    <row r="56" spans="1:9" x14ac:dyDescent="0.35">
      <c r="A56" s="1"/>
      <c r="B56" s="1"/>
      <c r="C56" s="1"/>
      <c r="D56" s="1"/>
      <c r="E56" s="1"/>
      <c r="F56" s="13"/>
      <c r="G56" s="13"/>
      <c r="H56" s="13"/>
      <c r="I56" s="13"/>
    </row>
    <row r="57" spans="1:9" x14ac:dyDescent="0.35">
      <c r="A57" s="1"/>
      <c r="B57" s="1"/>
      <c r="C57" s="1"/>
      <c r="D57" s="1"/>
      <c r="E57" s="1"/>
      <c r="F57" s="13"/>
      <c r="G57" s="13"/>
      <c r="H57" s="13"/>
      <c r="I57" s="13"/>
    </row>
    <row r="58" spans="1:9" x14ac:dyDescent="0.35">
      <c r="A58" s="1"/>
      <c r="B58" s="1"/>
      <c r="C58" s="1"/>
      <c r="D58" s="1"/>
      <c r="E58" s="1"/>
      <c r="F58" s="13"/>
      <c r="G58" s="13"/>
      <c r="H58" s="13"/>
      <c r="I58" s="13"/>
    </row>
    <row r="59" spans="1:9" x14ac:dyDescent="0.35">
      <c r="A59" s="1"/>
      <c r="B59" s="1"/>
      <c r="C59" s="1"/>
      <c r="D59" s="1"/>
      <c r="E59" s="1"/>
      <c r="F59" s="13"/>
      <c r="G59" s="13"/>
      <c r="H59" s="13"/>
      <c r="I59" s="13"/>
    </row>
  </sheetData>
  <conditionalFormatting sqref="M1:O1 M7:N7 M2:N5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{9CA3B9C5-D585-479E-9D38-7FA016FA3E06}</x14:id>
        </ext>
      </extLst>
    </cfRule>
  </conditionalFormatting>
  <conditionalFormatting sqref="N2:N5 N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{C1B265D5-424C-49E5-9A73-17B0867E68A1}</x14:id>
        </ext>
      </extLst>
    </cfRule>
  </conditionalFormatting>
  <conditionalFormatting sqref="O2:O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{48A4DD19-90AD-4592-8BCF-49C6393E7454}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B9C5-D585-479E-9D38-7FA016FA3E0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M1:O1 M7:N7 M2:N5</xm:sqref>
        </x14:conditionalFormatting>
        <x14:conditionalFormatting xmlns:xm="http://schemas.microsoft.com/office/excel/2006/main">
          <x14:cfRule type="dataBar" id="{C1B265D5-424C-49E5-9A73-17B0867E68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N2:N5 N7</xm:sqref>
        </x14:conditionalFormatting>
        <x14:conditionalFormatting xmlns:xm="http://schemas.microsoft.com/office/excel/2006/main">
          <x14:cfRule type="dataBar" id="{48A4DD19-90AD-4592-8BCF-49C6393E74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O2:O4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676E9-6D7B-4AAA-9953-49DC9B55061A}">
  <sheetPr codeName="Sheet6"/>
  <dimension ref="A1:AL53"/>
  <sheetViews>
    <sheetView zoomScaleNormal="100" workbookViewId="0"/>
  </sheetViews>
  <sheetFormatPr defaultRowHeight="14.5" x14ac:dyDescent="0.35"/>
  <cols>
    <col min="1" max="1" width="3.6328125" bestFit="1" customWidth="1"/>
    <col min="6" max="6" width="15.453125" bestFit="1" customWidth="1"/>
    <col min="7" max="7" width="14.54296875" bestFit="1" customWidth="1"/>
    <col min="8" max="8" width="6.81640625" bestFit="1" customWidth="1"/>
    <col min="9" max="9" width="15.453125" bestFit="1" customWidth="1"/>
    <col min="10" max="10" width="11.54296875" bestFit="1" customWidth="1"/>
    <col min="11" max="11" width="18.36328125" bestFit="1" customWidth="1"/>
    <col min="13" max="13" width="26.7265625" bestFit="1" customWidth="1"/>
    <col min="15" max="15" width="9.90625" bestFit="1" customWidth="1"/>
  </cols>
  <sheetData>
    <row r="1" spans="1:38" ht="21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1"/>
      <c r="M1" s="72" t="s">
        <v>63</v>
      </c>
      <c r="N1" s="66"/>
      <c r="O1" s="73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38" ht="18.5" x14ac:dyDescent="0.45">
      <c r="A2" s="1"/>
      <c r="B2" s="1"/>
      <c r="C2" s="1"/>
      <c r="D2" s="1"/>
      <c r="E2" s="1"/>
      <c r="F2" s="9" t="s">
        <v>3</v>
      </c>
      <c r="G2" s="9" t="s">
        <v>13</v>
      </c>
      <c r="H2" s="1"/>
      <c r="I2" s="9" t="s">
        <v>29</v>
      </c>
      <c r="J2" s="9" t="s">
        <v>14</v>
      </c>
      <c r="K2" s="9" t="s">
        <v>15</v>
      </c>
      <c r="L2" s="1"/>
      <c r="M2" s="75" t="s">
        <v>64</v>
      </c>
      <c r="N2" s="69"/>
      <c r="O2" s="77">
        <f>SUM($G:$G)</f>
        <v>82000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1:38" ht="18.5" x14ac:dyDescent="0.45">
      <c r="A3" s="1"/>
      <c r="B3" s="1"/>
      <c r="C3" s="1"/>
      <c r="D3" s="1"/>
      <c r="E3" s="1"/>
      <c r="F3" s="13" t="s">
        <v>27</v>
      </c>
      <c r="G3" s="10">
        <v>60000</v>
      </c>
      <c r="H3" s="1"/>
      <c r="I3" s="13" t="s">
        <v>69</v>
      </c>
      <c r="J3" s="10">
        <v>200</v>
      </c>
      <c r="K3" s="15">
        <v>44997</v>
      </c>
      <c r="L3" s="1"/>
      <c r="M3" s="75" t="s">
        <v>65</v>
      </c>
      <c r="N3" s="69"/>
      <c r="O3" s="78">
        <f>SUM($J:$J)</f>
        <v>5100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18.5" x14ac:dyDescent="0.45">
      <c r="A4" s="1"/>
      <c r="B4" s="1"/>
      <c r="C4" s="1"/>
      <c r="D4" s="1"/>
      <c r="E4" s="1"/>
      <c r="F4" s="13" t="s">
        <v>69</v>
      </c>
      <c r="G4" s="10">
        <v>2000</v>
      </c>
      <c r="H4" s="3"/>
      <c r="I4" s="15" t="s">
        <v>69</v>
      </c>
      <c r="J4" s="10">
        <v>500</v>
      </c>
      <c r="K4" s="15">
        <v>45058</v>
      </c>
      <c r="L4" s="1"/>
      <c r="M4" s="75" t="s">
        <v>67</v>
      </c>
      <c r="N4" s="69"/>
      <c r="O4" s="78">
        <f>$O$2-$O$3</f>
        <v>76900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8" ht="15.5" x14ac:dyDescent="0.35">
      <c r="A5" s="1"/>
      <c r="B5" s="1"/>
      <c r="C5" s="1"/>
      <c r="D5" s="1"/>
      <c r="E5" s="1"/>
      <c r="F5" s="13" t="s">
        <v>73</v>
      </c>
      <c r="G5" s="10">
        <v>20000</v>
      </c>
      <c r="H5" s="3"/>
      <c r="I5" s="15" t="s">
        <v>27</v>
      </c>
      <c r="J5" s="10">
        <v>2000</v>
      </c>
      <c r="K5" s="15">
        <v>45089</v>
      </c>
      <c r="L5" s="1"/>
      <c r="M5" s="76" t="s">
        <v>68</v>
      </c>
      <c r="N5" s="74"/>
      <c r="O5" s="79">
        <f>O3/O2</f>
        <v>6.2195121951219512E-2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8" x14ac:dyDescent="0.35">
      <c r="A6" s="1"/>
      <c r="B6" s="1"/>
      <c r="C6" s="1"/>
      <c r="D6" s="1"/>
      <c r="E6" s="1"/>
      <c r="F6" s="13"/>
      <c r="G6" s="10"/>
      <c r="H6" s="1"/>
      <c r="I6" s="13" t="s">
        <v>73</v>
      </c>
      <c r="J6" s="10">
        <v>2000</v>
      </c>
      <c r="K6" s="15">
        <v>45022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x14ac:dyDescent="0.35">
      <c r="A7" s="1"/>
      <c r="B7" s="1"/>
      <c r="C7" s="1"/>
      <c r="D7" s="1"/>
      <c r="E7" s="1"/>
      <c r="F7" s="13"/>
      <c r="G7" s="13"/>
      <c r="H7" s="1"/>
      <c r="I7" s="13" t="s">
        <v>73</v>
      </c>
      <c r="J7" s="10">
        <v>100</v>
      </c>
      <c r="K7" s="15">
        <v>45151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1:38" x14ac:dyDescent="0.35">
      <c r="A8" s="1"/>
      <c r="B8" s="1"/>
      <c r="C8" s="1"/>
      <c r="D8" s="1"/>
      <c r="E8" s="1"/>
      <c r="F8" s="13"/>
      <c r="G8" s="13"/>
      <c r="H8" s="1"/>
      <c r="I8" s="13" t="s">
        <v>27</v>
      </c>
      <c r="J8" s="10">
        <v>300</v>
      </c>
      <c r="K8" s="15">
        <v>45262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1:38" x14ac:dyDescent="0.35">
      <c r="A9" s="1"/>
      <c r="B9" s="1"/>
      <c r="C9" s="1"/>
      <c r="D9" s="1"/>
      <c r="E9" s="1"/>
      <c r="F9" s="13"/>
      <c r="G9" s="13"/>
      <c r="H9" s="1"/>
      <c r="I9" s="13"/>
      <c r="J9" s="13"/>
      <c r="K9" s="1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spans="1:38" x14ac:dyDescent="0.35">
      <c r="A10" s="1"/>
      <c r="B10" s="1"/>
      <c r="C10" s="1"/>
      <c r="D10" s="1"/>
      <c r="E10" s="1"/>
      <c r="F10" s="13"/>
      <c r="G10" s="13"/>
      <c r="H10" s="1"/>
      <c r="I10" s="13"/>
      <c r="J10" s="13"/>
      <c r="K10" s="1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1:38" x14ac:dyDescent="0.35">
      <c r="A11" s="1"/>
      <c r="B11" s="1"/>
      <c r="C11" s="1"/>
      <c r="D11" s="1"/>
      <c r="E11" s="1"/>
      <c r="F11" s="13"/>
      <c r="G11" s="13"/>
      <c r="H11" s="1"/>
      <c r="I11" s="13"/>
      <c r="J11" s="13"/>
      <c r="K11" s="1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x14ac:dyDescent="0.35">
      <c r="A12" s="1"/>
      <c r="B12" s="1"/>
      <c r="C12" s="1"/>
      <c r="D12" s="1"/>
      <c r="E12" s="1"/>
      <c r="F12" s="13"/>
      <c r="G12" s="13"/>
      <c r="H12" s="1"/>
      <c r="I12" s="13"/>
      <c r="J12" s="13"/>
      <c r="K12" s="1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1:38" x14ac:dyDescent="0.35">
      <c r="A13" s="1"/>
      <c r="B13" s="1"/>
      <c r="C13" s="1"/>
      <c r="D13" s="1"/>
      <c r="E13" s="1"/>
      <c r="F13" s="13"/>
      <c r="G13" s="13"/>
      <c r="H13" s="1"/>
      <c r="I13" s="13"/>
      <c r="J13" s="13"/>
      <c r="K13" s="1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x14ac:dyDescent="0.35">
      <c r="A14" s="1"/>
      <c r="B14" s="1"/>
      <c r="C14" s="1"/>
      <c r="D14" s="1"/>
      <c r="E14" s="1"/>
      <c r="F14" s="13"/>
      <c r="G14" s="13"/>
      <c r="H14" s="1"/>
      <c r="I14" s="13"/>
      <c r="J14" s="13"/>
      <c r="K14" s="1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1:38" x14ac:dyDescent="0.35">
      <c r="A15" s="1"/>
      <c r="B15" s="1"/>
      <c r="C15" s="1"/>
      <c r="D15" s="1"/>
      <c r="E15" s="1"/>
      <c r="F15" s="13"/>
      <c r="G15" s="13"/>
      <c r="H15" s="1"/>
      <c r="I15" s="13"/>
      <c r="J15" s="13"/>
      <c r="K15" s="1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1:38" x14ac:dyDescent="0.35">
      <c r="A16" s="1"/>
      <c r="B16" s="1"/>
      <c r="C16" s="1"/>
      <c r="D16" s="1"/>
      <c r="E16" s="1"/>
      <c r="F16" s="13"/>
      <c r="G16" s="13"/>
      <c r="H16" s="1"/>
      <c r="I16" s="13"/>
      <c r="J16" s="13"/>
      <c r="K16" s="1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1:38" x14ac:dyDescent="0.35">
      <c r="A17" s="1"/>
      <c r="B17" s="1"/>
      <c r="C17" s="1"/>
      <c r="D17" s="1"/>
      <c r="E17" s="1"/>
      <c r="F17" s="13"/>
      <c r="G17" s="13"/>
      <c r="H17" s="1"/>
      <c r="I17" s="13"/>
      <c r="J17" s="13"/>
      <c r="K17" s="1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x14ac:dyDescent="0.35">
      <c r="A18" s="1"/>
      <c r="B18" s="1"/>
      <c r="C18" s="1"/>
      <c r="D18" s="1"/>
      <c r="E18" s="1"/>
      <c r="F18" s="13"/>
      <c r="G18" s="13"/>
      <c r="H18" s="1"/>
      <c r="I18" s="13"/>
      <c r="J18" s="13"/>
      <c r="K18" s="1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1:38" x14ac:dyDescent="0.35">
      <c r="A19" s="1"/>
      <c r="B19" s="1"/>
      <c r="C19" s="1"/>
      <c r="D19" s="1"/>
      <c r="E19" s="1"/>
      <c r="F19" s="13"/>
      <c r="G19" s="13"/>
      <c r="H19" s="1"/>
      <c r="I19" s="13"/>
      <c r="J19" s="13"/>
      <c r="K19" s="1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1:38" x14ac:dyDescent="0.35">
      <c r="A20" s="1"/>
      <c r="B20" s="1"/>
      <c r="C20" s="1"/>
      <c r="D20" s="1"/>
      <c r="E20" s="1"/>
      <c r="F20" s="13"/>
      <c r="G20" s="13"/>
      <c r="H20" s="1"/>
      <c r="I20" s="13"/>
      <c r="J20" s="13"/>
      <c r="K20" s="1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x14ac:dyDescent="0.35">
      <c r="A21" s="1"/>
      <c r="B21" s="1"/>
      <c r="C21" s="1"/>
      <c r="D21" s="1"/>
      <c r="E21" s="1"/>
      <c r="F21" s="13"/>
      <c r="G21" s="13"/>
      <c r="H21" s="1"/>
      <c r="I21" s="13"/>
      <c r="J21" s="13"/>
      <c r="K21" s="1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1:38" x14ac:dyDescent="0.35">
      <c r="A22" s="1"/>
      <c r="B22" s="1"/>
      <c r="C22" s="1"/>
      <c r="D22" s="1"/>
      <c r="E22" s="1"/>
      <c r="F22" s="13"/>
      <c r="G22" s="13"/>
      <c r="H22" s="1"/>
      <c r="I22" s="13"/>
      <c r="J22" s="13"/>
      <c r="K22" s="1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1:38" x14ac:dyDescent="0.35">
      <c r="A23" s="1"/>
      <c r="B23" s="1"/>
      <c r="C23" s="1"/>
      <c r="D23" s="1"/>
      <c r="E23" s="1"/>
      <c r="F23" s="13"/>
      <c r="G23" s="13"/>
      <c r="H23" s="1"/>
      <c r="I23" s="13"/>
      <c r="J23" s="13"/>
      <c r="K23" s="1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1:38" x14ac:dyDescent="0.35">
      <c r="A24" s="1"/>
      <c r="B24" s="1"/>
      <c r="C24" s="1"/>
      <c r="D24" s="1"/>
      <c r="E24" s="1"/>
      <c r="F24" s="13"/>
      <c r="G24" s="13"/>
      <c r="H24" s="1"/>
      <c r="I24" s="13"/>
      <c r="J24" s="13"/>
      <c r="K24" s="1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38" x14ac:dyDescent="0.35">
      <c r="A25" s="1"/>
      <c r="B25" s="1"/>
      <c r="C25" s="1"/>
      <c r="D25" s="1"/>
      <c r="E25" s="1"/>
      <c r="F25" s="13"/>
      <c r="G25" s="13"/>
      <c r="H25" s="1"/>
      <c r="I25" s="13"/>
      <c r="J25" s="13"/>
      <c r="K25" s="1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38" x14ac:dyDescent="0.35">
      <c r="A26" s="1"/>
      <c r="B26" s="1"/>
      <c r="C26" s="1"/>
      <c r="D26" s="1"/>
      <c r="E26" s="1"/>
      <c r="F26" s="13"/>
      <c r="G26" s="13"/>
      <c r="H26" s="1"/>
      <c r="I26" s="13"/>
      <c r="J26" s="13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38" x14ac:dyDescent="0.35">
      <c r="A27" s="1"/>
      <c r="B27" s="1"/>
      <c r="C27" s="1"/>
      <c r="D27" s="1"/>
      <c r="E27" s="1"/>
      <c r="F27" s="13"/>
      <c r="G27" s="13"/>
      <c r="H27" s="1"/>
      <c r="I27" s="13"/>
      <c r="J27" s="13"/>
      <c r="K27" s="13"/>
      <c r="L27" s="4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38" x14ac:dyDescent="0.35">
      <c r="A28" s="1"/>
      <c r="B28" s="1"/>
      <c r="C28" s="1"/>
      <c r="D28" s="1"/>
      <c r="E28" s="1"/>
      <c r="F28" s="13"/>
      <c r="G28" s="13"/>
      <c r="H28" s="1"/>
      <c r="I28" s="13"/>
      <c r="J28" s="13"/>
      <c r="K28" s="13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38" x14ac:dyDescent="0.35">
      <c r="A29" s="1"/>
      <c r="B29" s="1"/>
      <c r="C29" s="1"/>
      <c r="D29" s="1"/>
      <c r="E29" s="1"/>
      <c r="F29" s="13"/>
      <c r="G29" s="13"/>
      <c r="H29" s="1"/>
      <c r="I29" s="13"/>
      <c r="J29" s="13"/>
      <c r="K29" s="13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38" x14ac:dyDescent="0.35">
      <c r="A30" s="1"/>
      <c r="B30" s="1"/>
      <c r="C30" s="1"/>
      <c r="D30" s="1"/>
      <c r="E30" s="1"/>
      <c r="F30" s="13"/>
      <c r="G30" s="13"/>
      <c r="H30" s="1"/>
      <c r="I30" s="13"/>
      <c r="J30" s="13"/>
      <c r="K30" s="13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38" x14ac:dyDescent="0.35">
      <c r="A31" s="1"/>
      <c r="B31" s="1"/>
      <c r="C31" s="1"/>
      <c r="D31" s="1"/>
      <c r="E31" s="1"/>
      <c r="F31" s="13"/>
      <c r="G31" s="13"/>
      <c r="H31" s="1"/>
      <c r="I31" s="13"/>
      <c r="J31" s="13"/>
      <c r="K31" s="13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38" x14ac:dyDescent="0.35">
      <c r="A32" s="1"/>
      <c r="B32" s="1"/>
      <c r="C32" s="1"/>
      <c r="D32" s="1"/>
      <c r="E32" s="1"/>
      <c r="F32" s="13"/>
      <c r="G32" s="13"/>
      <c r="H32" s="1"/>
      <c r="I32" s="13"/>
      <c r="J32" s="13"/>
      <c r="K32" s="1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38" x14ac:dyDescent="0.35">
      <c r="A33" s="1"/>
      <c r="B33" s="1"/>
      <c r="C33" s="1"/>
      <c r="D33" s="1"/>
      <c r="E33" s="1"/>
      <c r="F33" s="13"/>
      <c r="G33" s="13"/>
      <c r="H33" s="1"/>
      <c r="I33" s="13"/>
      <c r="J33" s="13"/>
      <c r="K33" s="1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38" x14ac:dyDescent="0.35">
      <c r="A34" s="1"/>
      <c r="B34" s="1"/>
      <c r="C34" s="1"/>
      <c r="D34" s="1"/>
      <c r="E34" s="1"/>
      <c r="F34" s="13"/>
      <c r="G34" s="13"/>
      <c r="H34" s="1"/>
      <c r="I34" s="13"/>
      <c r="J34" s="13"/>
      <c r="K34" s="1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38" x14ac:dyDescent="0.35">
      <c r="A35" s="1"/>
      <c r="B35" s="1"/>
      <c r="C35" s="1"/>
      <c r="D35" s="1"/>
      <c r="E35" s="1"/>
      <c r="F35" s="13"/>
      <c r="G35" s="13"/>
      <c r="H35" s="1"/>
      <c r="I35" s="13"/>
      <c r="J35" s="13"/>
      <c r="K35" s="1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38" x14ac:dyDescent="0.35">
      <c r="A36" s="1"/>
      <c r="B36" s="1"/>
      <c r="C36" s="1"/>
      <c r="D36" s="1"/>
      <c r="E36" s="1"/>
      <c r="F36" s="13"/>
      <c r="G36" s="13"/>
      <c r="H36" s="1"/>
      <c r="I36" s="13"/>
      <c r="J36" s="13"/>
      <c r="K36" s="1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38" x14ac:dyDescent="0.35">
      <c r="A37" s="1"/>
      <c r="B37" s="1"/>
      <c r="C37" s="1"/>
      <c r="D37" s="1"/>
      <c r="E37" s="1"/>
      <c r="F37" s="13"/>
      <c r="G37" s="13"/>
      <c r="H37" s="1"/>
      <c r="I37" s="13"/>
      <c r="J37" s="13"/>
      <c r="K37" s="1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38" x14ac:dyDescent="0.35">
      <c r="A38" s="1"/>
      <c r="B38" s="1"/>
      <c r="C38" s="1"/>
      <c r="D38" s="1"/>
      <c r="E38" s="1"/>
      <c r="F38" s="13"/>
      <c r="G38" s="13"/>
      <c r="H38" s="1"/>
      <c r="I38" s="13"/>
      <c r="J38" s="13"/>
      <c r="K38" s="1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38" x14ac:dyDescent="0.35">
      <c r="A39" s="1"/>
      <c r="B39" s="1"/>
      <c r="C39" s="1"/>
      <c r="D39" s="1"/>
      <c r="E39" s="1"/>
      <c r="F39" s="13"/>
      <c r="G39" s="13"/>
      <c r="H39" s="1"/>
      <c r="I39" s="13"/>
      <c r="J39" s="13"/>
      <c r="K39" s="1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38" x14ac:dyDescent="0.35">
      <c r="A40" s="1"/>
      <c r="B40" s="1"/>
      <c r="C40" s="1"/>
      <c r="D40" s="1"/>
      <c r="E40" s="1"/>
      <c r="F40" s="13"/>
      <c r="G40" s="13"/>
      <c r="H40" s="1"/>
      <c r="I40" s="13"/>
      <c r="J40" s="13"/>
      <c r="K40" s="1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38" x14ac:dyDescent="0.35">
      <c r="A41" s="1"/>
      <c r="B41" s="1"/>
      <c r="C41" s="1"/>
      <c r="D41" s="1"/>
      <c r="E41" s="1"/>
      <c r="F41" s="13"/>
      <c r="G41" s="13"/>
      <c r="H41" s="1"/>
      <c r="I41" s="13"/>
      <c r="J41" s="13"/>
      <c r="K41" s="1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1:38" x14ac:dyDescent="0.35">
      <c r="A42" s="1"/>
      <c r="B42" s="1"/>
      <c r="C42" s="1"/>
      <c r="D42" s="1"/>
      <c r="E42" s="1"/>
      <c r="F42" s="13"/>
      <c r="G42" s="13"/>
      <c r="H42" s="1"/>
      <c r="I42" s="13"/>
      <c r="J42" s="13"/>
      <c r="K42" s="1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</row>
    <row r="43" spans="1:38" x14ac:dyDescent="0.35">
      <c r="A43" s="1"/>
      <c r="B43" s="1"/>
      <c r="C43" s="1"/>
      <c r="D43" s="1"/>
      <c r="E43" s="1"/>
      <c r="F43" s="13"/>
      <c r="G43" s="13"/>
      <c r="H43" s="1"/>
      <c r="I43" s="13"/>
      <c r="J43" s="13"/>
      <c r="K43" s="1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</row>
    <row r="44" spans="1:38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1:38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</row>
    <row r="46" spans="1:38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</row>
    <row r="47" spans="1:38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</row>
    <row r="48" spans="1:38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</row>
    <row r="49" spans="1:38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</row>
    <row r="50" spans="1:38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  <row r="51" spans="1:38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</row>
    <row r="52" spans="1:38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</row>
    <row r="53" spans="1:38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</row>
  </sheetData>
  <conditionalFormatting sqref="M1:O1 M2:N5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{89CBD880-1465-465B-9F08-7101A418E17F}</x14:id>
        </ext>
      </extLst>
    </cfRule>
  </conditionalFormatting>
  <conditionalFormatting sqref="N2:N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{DDB6C5FE-9443-4BF1-AA20-E9F63502892A}</x14:id>
        </ext>
      </extLst>
    </cfRule>
  </conditionalFormatting>
  <conditionalFormatting sqref="O2:O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{3AE1E963-7280-4562-B48B-B6AC14BB91E0}</x14:id>
        </ext>
      </extLst>
    </cfRule>
  </conditionalFormatting>
  <conditionalFormatting sqref="M2:O4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{2F94A033-E564-4806-99A0-2D99BC16FD28}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CBD880-1465-465B-9F08-7101A418E1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M1:O1 M2:N5</xm:sqref>
        </x14:conditionalFormatting>
        <x14:conditionalFormatting xmlns:xm="http://schemas.microsoft.com/office/excel/2006/main">
          <x14:cfRule type="dataBar" id="{DDB6C5FE-9443-4BF1-AA20-E9F6350289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N2:N5</xm:sqref>
        </x14:conditionalFormatting>
        <x14:conditionalFormatting xmlns:xm="http://schemas.microsoft.com/office/excel/2006/main">
          <x14:cfRule type="dataBar" id="{3AE1E963-7280-4562-B48B-B6AC14BB9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O2:O4</xm:sqref>
        </x14:conditionalFormatting>
        <x14:conditionalFormatting xmlns:xm="http://schemas.microsoft.com/office/excel/2006/main">
          <x14:cfRule type="dataBar" id="{2F94A033-E564-4806-99A0-2D99BC16FD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M2:O4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27C6A-484A-4384-838A-0CF59301319F}">
  <sheetPr codeName="Sheet5"/>
  <dimension ref="A1:AN71"/>
  <sheetViews>
    <sheetView zoomScale="160" zoomScaleNormal="160" workbookViewId="0"/>
  </sheetViews>
  <sheetFormatPr defaultRowHeight="14.5" x14ac:dyDescent="0.35"/>
  <sheetData>
    <row r="1" spans="1:40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40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40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4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spans="1:40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spans="1:40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spans="1:40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spans="1:40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spans="1:40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spans="1:40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</row>
    <row r="50" spans="1:40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</row>
    <row r="51" spans="1:40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</row>
    <row r="52" spans="1:40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</row>
    <row r="53" spans="1:40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</row>
    <row r="54" spans="1:40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</row>
    <row r="55" spans="1:40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</row>
    <row r="56" spans="1:40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</row>
    <row r="57" spans="1:40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</row>
    <row r="58" spans="1:40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</row>
    <row r="59" spans="1:40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</row>
    <row r="60" spans="1:40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</row>
    <row r="61" spans="1:40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</row>
    <row r="62" spans="1:40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</row>
    <row r="63" spans="1:40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</row>
    <row r="64" spans="1:40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</row>
    <row r="65" spans="1:40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40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</row>
    <row r="67" spans="1:40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</row>
    <row r="68" spans="1:40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</row>
    <row r="69" spans="1:40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</row>
    <row r="70" spans="1:40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</row>
    <row r="71" spans="1:40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 Page</vt:lpstr>
      <vt:lpstr>Income</vt:lpstr>
      <vt:lpstr>Expense</vt:lpstr>
      <vt:lpstr>Loan</vt:lpstr>
      <vt:lpstr>Tuition</vt:lpstr>
      <vt:lpstr>Savings Goals</vt:lpstr>
      <vt:lpstr>MyAdvice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Moksha Sharma</dc:creator>
  <cp:lastModifiedBy>Moksha Sharma</cp:lastModifiedBy>
  <dcterms:created xsi:type="dcterms:W3CDTF">2023-11-07T02:00:51Z</dcterms:created>
  <dcterms:modified xsi:type="dcterms:W3CDTF">2024-01-10T05:01:18Z</dcterms:modified>
</cp:coreProperties>
</file>